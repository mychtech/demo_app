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3995" windowHeight="5115" activeTab="2"/>
  </bookViews>
  <sheets>
    <sheet name="使い方" sheetId="2" r:id="rId1"/>
    <sheet name="4月" sheetId="1" r:id="rId2"/>
    <sheet name="5月" sheetId="5" r:id="rId3"/>
    <sheet name="祝日" sheetId="3" r:id="rId4"/>
    <sheet name="アルゴリズム3" sheetId="4" state="hidden" r:id="rId5"/>
  </sheets>
  <functionGroups/>
  <calcPr calcId="125725"/>
</workbook>
</file>

<file path=xl/calcChain.xml><?xml version="1.0" encoding="utf-8"?>
<calcChain xmlns="http://schemas.openxmlformats.org/spreadsheetml/2006/main">
  <c r="C33" i="5"/>
  <c r="B33"/>
  <c r="A33"/>
  <c r="A3"/>
  <c r="A4" s="1"/>
  <c r="A5" i="1"/>
  <c r="A6" s="1"/>
  <c r="A4"/>
  <c r="A3"/>
  <c r="M47" i="5"/>
  <c r="O46"/>
  <c r="O45"/>
  <c r="O44"/>
  <c r="K42"/>
  <c r="N39"/>
  <c r="I39"/>
  <c r="O38"/>
  <c r="J36"/>
  <c r="I36"/>
  <c r="K32"/>
  <c r="K30"/>
  <c r="K29"/>
  <c r="K27"/>
  <c r="K26"/>
  <c r="K25"/>
  <c r="K24"/>
  <c r="K23"/>
  <c r="O42" s="1"/>
  <c r="K22"/>
  <c r="K19"/>
  <c r="O39" s="1"/>
  <c r="K18"/>
  <c r="K17"/>
  <c r="K16"/>
  <c r="K15"/>
  <c r="K12"/>
  <c r="K11"/>
  <c r="K10"/>
  <c r="K9"/>
  <c r="K8"/>
  <c r="K5"/>
  <c r="O41" s="1"/>
  <c r="K4"/>
  <c r="K3"/>
  <c r="B3"/>
  <c r="C3" s="1"/>
  <c r="K27" i="1"/>
  <c r="N39"/>
  <c r="K3"/>
  <c r="K4"/>
  <c r="K5"/>
  <c r="K8"/>
  <c r="K9"/>
  <c r="K10"/>
  <c r="K11"/>
  <c r="K12"/>
  <c r="K15"/>
  <c r="K16"/>
  <c r="K17"/>
  <c r="K18"/>
  <c r="K19"/>
  <c r="K22"/>
  <c r="K23"/>
  <c r="K24"/>
  <c r="K25"/>
  <c r="K26"/>
  <c r="K29"/>
  <c r="K30"/>
  <c r="K32"/>
  <c r="M47" i="4"/>
  <c r="N46"/>
  <c r="N45"/>
  <c r="T44"/>
  <c r="T43"/>
  <c r="T42"/>
  <c r="K42"/>
  <c r="N41"/>
  <c r="T40"/>
  <c r="T38" s="1"/>
  <c r="N39"/>
  <c r="I39"/>
  <c r="J36"/>
  <c r="I36"/>
  <c r="K32"/>
  <c r="B32"/>
  <c r="C32" s="1"/>
  <c r="B31"/>
  <c r="C31" s="1"/>
  <c r="K30"/>
  <c r="C30"/>
  <c r="B30"/>
  <c r="K29"/>
  <c r="B29"/>
  <c r="C29" s="1"/>
  <c r="B28"/>
  <c r="C28" s="1"/>
  <c r="K27"/>
  <c r="C27"/>
  <c r="B27"/>
  <c r="K26"/>
  <c r="B26"/>
  <c r="C26" s="1"/>
  <c r="K25"/>
  <c r="C25"/>
  <c r="B25"/>
  <c r="K24"/>
  <c r="B24"/>
  <c r="C24" s="1"/>
  <c r="K23"/>
  <c r="C23"/>
  <c r="B23"/>
  <c r="K22"/>
  <c r="B22"/>
  <c r="C22" s="1"/>
  <c r="B21"/>
  <c r="C21" s="1"/>
  <c r="B20"/>
  <c r="C20" s="1"/>
  <c r="K19"/>
  <c r="V40" s="1"/>
  <c r="C19"/>
  <c r="B19"/>
  <c r="K18"/>
  <c r="B18"/>
  <c r="C18" s="1"/>
  <c r="K17"/>
  <c r="C17"/>
  <c r="B17"/>
  <c r="K16"/>
  <c r="B16"/>
  <c r="C16" s="1"/>
  <c r="K15"/>
  <c r="C15"/>
  <c r="B15"/>
  <c r="C14"/>
  <c r="B14"/>
  <c r="C13"/>
  <c r="B13"/>
  <c r="K12"/>
  <c r="B12"/>
  <c r="C12" s="1"/>
  <c r="K11"/>
  <c r="C11"/>
  <c r="B11"/>
  <c r="K10"/>
  <c r="B10"/>
  <c r="C10" s="1"/>
  <c r="K9"/>
  <c r="C9"/>
  <c r="B9"/>
  <c r="K8"/>
  <c r="V44" s="1"/>
  <c r="B8"/>
  <c r="C8" s="1"/>
  <c r="B7"/>
  <c r="C7" s="1"/>
  <c r="B6"/>
  <c r="C6" s="1"/>
  <c r="K5"/>
  <c r="C5"/>
  <c r="B5"/>
  <c r="K4"/>
  <c r="V42" s="1"/>
  <c r="B4"/>
  <c r="C4" s="1"/>
  <c r="K3"/>
  <c r="C3"/>
  <c r="B3"/>
  <c r="O38" i="1"/>
  <c r="O46"/>
  <c r="P46" s="1"/>
  <c r="O44"/>
  <c r="O45"/>
  <c r="O39"/>
  <c r="P39" s="1"/>
  <c r="J36"/>
  <c r="I39"/>
  <c r="M47"/>
  <c r="K42"/>
  <c r="B4"/>
  <c r="C4" s="1"/>
  <c r="B5"/>
  <c r="C5" s="1"/>
  <c r="B3"/>
  <c r="C3" s="1"/>
  <c r="K36" i="5" l="1"/>
  <c r="N45" s="1"/>
  <c r="A5"/>
  <c r="B4"/>
  <c r="C4" s="1"/>
  <c r="B6" i="1"/>
  <c r="C6" s="1"/>
  <c r="A7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B7"/>
  <c r="C7" s="1"/>
  <c r="O43" i="5"/>
  <c r="P39"/>
  <c r="O40"/>
  <c r="P46"/>
  <c r="O40" i="1"/>
  <c r="O41"/>
  <c r="K36"/>
  <c r="K36" i="4"/>
  <c r="O45" s="1"/>
  <c r="V43"/>
  <c r="V38"/>
  <c r="N38"/>
  <c r="T47"/>
  <c r="J38"/>
  <c r="O46"/>
  <c r="N40"/>
  <c r="N42"/>
  <c r="O42" s="1"/>
  <c r="N43"/>
  <c r="N44"/>
  <c r="O44" s="1"/>
  <c r="O43" i="1"/>
  <c r="O42"/>
  <c r="I36"/>
  <c r="N42" i="5" l="1"/>
  <c r="N44"/>
  <c r="P44" s="1"/>
  <c r="Q46"/>
  <c r="N40"/>
  <c r="P40" s="1"/>
  <c r="N43"/>
  <c r="Q43" s="1"/>
  <c r="A6"/>
  <c r="B5"/>
  <c r="C5" s="1"/>
  <c r="B8" i="1"/>
  <c r="C8" s="1"/>
  <c r="O47" i="5"/>
  <c r="P45"/>
  <c r="Q45"/>
  <c r="Q40"/>
  <c r="P42"/>
  <c r="Q44"/>
  <c r="O47" i="1"/>
  <c r="N43"/>
  <c r="N44"/>
  <c r="N42"/>
  <c r="N40"/>
  <c r="Q40" s="1"/>
  <c r="N45"/>
  <c r="O43" i="4"/>
  <c r="O41"/>
  <c r="V47"/>
  <c r="O38"/>
  <c r="Q44"/>
  <c r="R44" s="1"/>
  <c r="S44" s="1"/>
  <c r="Q43"/>
  <c r="R43" s="1"/>
  <c r="S43" s="1"/>
  <c r="Q42"/>
  <c r="R42" s="1"/>
  <c r="S42" s="1"/>
  <c r="Q38"/>
  <c r="K38"/>
  <c r="N47"/>
  <c r="Q46" i="1"/>
  <c r="N41" i="5" l="1"/>
  <c r="N47" s="1"/>
  <c r="P47" s="1"/>
  <c r="P43"/>
  <c r="Q42"/>
  <c r="A7"/>
  <c r="B6"/>
  <c r="C6" s="1"/>
  <c r="B9" i="1"/>
  <c r="C9" s="1"/>
  <c r="P45"/>
  <c r="Q45"/>
  <c r="P42"/>
  <c r="Q42"/>
  <c r="P43"/>
  <c r="Q43"/>
  <c r="P44"/>
  <c r="Q44"/>
  <c r="P40"/>
  <c r="N41"/>
  <c r="O47" i="4"/>
  <c r="Q47"/>
  <c r="R38"/>
  <c r="P44"/>
  <c r="P43"/>
  <c r="P42"/>
  <c r="P38"/>
  <c r="K40"/>
  <c r="J42" s="1"/>
  <c r="P41" i="5" l="1"/>
  <c r="Q41"/>
  <c r="Q47" s="1"/>
  <c r="A8"/>
  <c r="B7"/>
  <c r="C7" s="1"/>
  <c r="B10" i="1"/>
  <c r="C10" s="1"/>
  <c r="N47"/>
  <c r="P47" s="1"/>
  <c r="Q41"/>
  <c r="Q47" s="1"/>
  <c r="P41"/>
  <c r="W42" i="4"/>
  <c r="U42"/>
  <c r="W44"/>
  <c r="U44"/>
  <c r="P47"/>
  <c r="W38"/>
  <c r="U38"/>
  <c r="U43"/>
  <c r="W43"/>
  <c r="R47"/>
  <c r="S47" s="1"/>
  <c r="S38"/>
  <c r="A9" i="5" l="1"/>
  <c r="B8"/>
  <c r="C8" s="1"/>
  <c r="B11" i="1"/>
  <c r="C11" s="1"/>
  <c r="U47" i="4"/>
  <c r="B9" i="5" l="1"/>
  <c r="C9" s="1"/>
  <c r="A10"/>
  <c r="B12" i="1"/>
  <c r="C12" s="1"/>
  <c r="A11" i="5" l="1"/>
  <c r="B10"/>
  <c r="C10" s="1"/>
  <c r="B13" i="1"/>
  <c r="C13" s="1"/>
  <c r="A12" i="5" l="1"/>
  <c r="B11"/>
  <c r="C11" s="1"/>
  <c r="B14" i="1"/>
  <c r="C14" s="1"/>
  <c r="A13" i="5" l="1"/>
  <c r="B12"/>
  <c r="C12" s="1"/>
  <c r="B15" i="1"/>
  <c r="C15" s="1"/>
  <c r="B13" i="5" l="1"/>
  <c r="C13" s="1"/>
  <c r="A14"/>
  <c r="B16" i="1"/>
  <c r="C16" s="1"/>
  <c r="A15" i="5" l="1"/>
  <c r="B14"/>
  <c r="C14" s="1"/>
  <c r="B17" i="1"/>
  <c r="C17" s="1"/>
  <c r="B15" i="5" l="1"/>
  <c r="C15" s="1"/>
  <c r="A16"/>
  <c r="B18" i="1"/>
  <c r="C18" s="1"/>
  <c r="A17" i="5" l="1"/>
  <c r="B16"/>
  <c r="C16" s="1"/>
  <c r="B19" i="1"/>
  <c r="C19" s="1"/>
  <c r="A18" i="5" l="1"/>
  <c r="B17"/>
  <c r="C17" s="1"/>
  <c r="B20" i="1"/>
  <c r="C20" s="1"/>
  <c r="A19" i="5" l="1"/>
  <c r="B18"/>
  <c r="C18" s="1"/>
  <c r="B21" i="1"/>
  <c r="C21" s="1"/>
  <c r="B19" i="5" l="1"/>
  <c r="C19" s="1"/>
  <c r="A20"/>
  <c r="B22" i="1"/>
  <c r="C22" s="1"/>
  <c r="A21" i="5" l="1"/>
  <c r="B20"/>
  <c r="C20" s="1"/>
  <c r="B23" i="1"/>
  <c r="C23" s="1"/>
  <c r="B21" i="5" l="1"/>
  <c r="C21" s="1"/>
  <c r="A22"/>
  <c r="B24" i="1"/>
  <c r="C24" s="1"/>
  <c r="A23" i="5" l="1"/>
  <c r="B22"/>
  <c r="C22" s="1"/>
  <c r="B25" i="1"/>
  <c r="C25" s="1"/>
  <c r="A24" i="5" l="1"/>
  <c r="B23"/>
  <c r="C23" s="1"/>
  <c r="B26" i="1"/>
  <c r="C26" s="1"/>
  <c r="A25" i="5" l="1"/>
  <c r="B24"/>
  <c r="C24" s="1"/>
  <c r="B27" i="1"/>
  <c r="C27" s="1"/>
  <c r="B25" i="5" l="1"/>
  <c r="C25" s="1"/>
  <c r="A26"/>
  <c r="B28" i="1"/>
  <c r="C28" s="1"/>
  <c r="A27" i="5" l="1"/>
  <c r="B26"/>
  <c r="C26" s="1"/>
  <c r="B29" i="1"/>
  <c r="C29" s="1"/>
  <c r="A28" i="5" l="1"/>
  <c r="B27"/>
  <c r="C27" s="1"/>
  <c r="B30" i="1"/>
  <c r="C30" s="1"/>
  <c r="A29" i="5" l="1"/>
  <c r="B28"/>
  <c r="C28" s="1"/>
  <c r="B31" i="1"/>
  <c r="C31" s="1"/>
  <c r="A30" i="5" l="1"/>
  <c r="B29"/>
  <c r="C29" s="1"/>
  <c r="B32" i="1"/>
  <c r="C32" s="1"/>
  <c r="J38"/>
  <c r="K38" s="1"/>
  <c r="K40" s="1"/>
  <c r="J42" s="1"/>
  <c r="A31" i="5" l="1"/>
  <c r="B30"/>
  <c r="C30" s="1"/>
  <c r="B31" l="1"/>
  <c r="C31" s="1"/>
  <c r="A32"/>
  <c r="B32" l="1"/>
  <c r="C32" s="1"/>
  <c r="J38"/>
  <c r="K38" s="1"/>
  <c r="K40" s="1"/>
  <c r="J42" s="1"/>
</calcChain>
</file>

<file path=xl/sharedStrings.xml><?xml version="1.0" encoding="utf-8"?>
<sst xmlns="http://schemas.openxmlformats.org/spreadsheetml/2006/main" count="208" uniqueCount="70">
  <si>
    <t>日付</t>
    <rPh sb="0" eb="2">
      <t>ヒヅケ</t>
    </rPh>
    <phoneticPr fontId="1"/>
  </si>
  <si>
    <t>曜日</t>
    <rPh sb="0" eb="2">
      <t>ヨウビ</t>
    </rPh>
    <phoneticPr fontId="1"/>
  </si>
  <si>
    <t>休日</t>
    <rPh sb="0" eb="2">
      <t>キュウジツ</t>
    </rPh>
    <phoneticPr fontId="1"/>
  </si>
  <si>
    <t>仮想デスクトップ</t>
    <rPh sb="0" eb="2">
      <t>カソウ</t>
    </rPh>
    <phoneticPr fontId="1"/>
  </si>
  <si>
    <t>起動</t>
    <rPh sb="0" eb="2">
      <t>キドウ</t>
    </rPh>
    <phoneticPr fontId="1"/>
  </si>
  <si>
    <t>終了</t>
    <rPh sb="0" eb="2">
      <t>シュウリョウ</t>
    </rPh>
    <phoneticPr fontId="1"/>
  </si>
  <si>
    <t>プロジェクト</t>
    <phoneticPr fontId="1"/>
  </si>
  <si>
    <t>基準時刻</t>
    <rPh sb="0" eb="2">
      <t>キジュン</t>
    </rPh>
    <rPh sb="2" eb="4">
      <t>ジコク</t>
    </rPh>
    <phoneticPr fontId="1"/>
  </si>
  <si>
    <t>C残</t>
    <rPh sb="1" eb="2">
      <t>ザン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</si>
  <si>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</si>
  <si>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</si>
  <si>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勤務時間</t>
    <rPh sb="0" eb="2">
      <t>キンム</t>
    </rPh>
    <rPh sb="2" eb="4">
      <t>ジカン</t>
    </rPh>
    <phoneticPr fontId="1"/>
  </si>
  <si>
    <t>控除時間</t>
    <rPh sb="0" eb="2">
      <t>コウジョ</t>
    </rPh>
    <rPh sb="2" eb="4">
      <t>ジカン</t>
    </rPh>
    <phoneticPr fontId="1"/>
  </si>
  <si>
    <t>労働時間</t>
    <rPh sb="0" eb="2">
      <t>ロウドウ</t>
    </rPh>
    <rPh sb="2" eb="4">
      <t>ジカン</t>
    </rPh>
    <phoneticPr fontId="1"/>
  </si>
  <si>
    <t>日報</t>
    <rPh sb="0" eb="2">
      <t>ニッポウ</t>
    </rPh>
    <phoneticPr fontId="1"/>
  </si>
  <si>
    <t>休</t>
    <rPh sb="0" eb="1">
      <t>ヤス</t>
    </rPh>
    <phoneticPr fontId="1"/>
  </si>
  <si>
    <t>コアタイム解除</t>
    <rPh sb="5" eb="7">
      <t>カイジョ</t>
    </rPh>
    <phoneticPr fontId="1"/>
  </si>
  <si>
    <t>コアタイム解除</t>
    <rPh sb="5" eb="7">
      <t>カイジョ</t>
    </rPh>
    <phoneticPr fontId="1"/>
  </si>
  <si>
    <t>合計</t>
    <rPh sb="0" eb="2">
      <t>ゴウケイ</t>
    </rPh>
    <phoneticPr fontId="1"/>
  </si>
  <si>
    <t>有給休暇</t>
    <rPh sb="0" eb="2">
      <t>ユウキュウ</t>
    </rPh>
    <rPh sb="2" eb="4">
      <t>キュウカ</t>
    </rPh>
    <phoneticPr fontId="1"/>
  </si>
  <si>
    <t>振替休日</t>
    <rPh sb="0" eb="1">
      <t>フ</t>
    </rPh>
    <rPh sb="1" eb="2">
      <t>カ</t>
    </rPh>
    <rPh sb="2" eb="4">
      <t>キュウジツ</t>
    </rPh>
    <phoneticPr fontId="1"/>
  </si>
  <si>
    <t>A時間</t>
    <rPh sb="1" eb="3">
      <t>ジカン</t>
    </rPh>
    <phoneticPr fontId="1"/>
  </si>
  <si>
    <t>B時間</t>
    <rPh sb="1" eb="3">
      <t>ジカン</t>
    </rPh>
    <phoneticPr fontId="1"/>
  </si>
  <si>
    <t>C時間</t>
    <rPh sb="1" eb="3">
      <t>ジカン</t>
    </rPh>
    <phoneticPr fontId="1"/>
  </si>
  <si>
    <t>予定B時間</t>
    <rPh sb="0" eb="2">
      <t>ヨテイ</t>
    </rPh>
    <rPh sb="3" eb="5">
      <t>ジカン</t>
    </rPh>
    <phoneticPr fontId="1"/>
  </si>
  <si>
    <t>超過B時間</t>
    <rPh sb="0" eb="2">
      <t>チョウカ</t>
    </rPh>
    <rPh sb="3" eb="5">
      <t>ジカン</t>
    </rPh>
    <phoneticPr fontId="1"/>
  </si>
  <si>
    <t>プロジェクト名</t>
    <rPh sb="6" eb="7">
      <t>メイ</t>
    </rPh>
    <phoneticPr fontId="1"/>
  </si>
  <si>
    <t>共通間接</t>
  </si>
  <si>
    <t>共通間接</t>
    <rPh sb="0" eb="2">
      <t>キョウツウ</t>
    </rPh>
    <rPh sb="2" eb="4">
      <t>カンセツ</t>
    </rPh>
    <phoneticPr fontId="1"/>
  </si>
  <si>
    <t>教育</t>
    <rPh sb="0" eb="2">
      <t>キョウイク</t>
    </rPh>
    <phoneticPr fontId="1"/>
  </si>
  <si>
    <t>休暇</t>
    <rPh sb="0" eb="2">
      <t>キュウカ</t>
    </rPh>
    <phoneticPr fontId="1"/>
  </si>
  <si>
    <t>採用</t>
    <rPh sb="0" eb="2">
      <t>サイヨウ</t>
    </rPh>
    <phoneticPr fontId="1"/>
  </si>
  <si>
    <t>プロジェクト1</t>
    <phoneticPr fontId="1"/>
  </si>
  <si>
    <t>プロジェクト4</t>
  </si>
  <si>
    <t>プロジェクト5</t>
  </si>
  <si>
    <t>割合</t>
    <rPh sb="0" eb="2">
      <t>ワリアイ</t>
    </rPh>
    <phoneticPr fontId="1"/>
  </si>
  <si>
    <t>予定割合</t>
    <rPh sb="0" eb="2">
      <t>ヨテイ</t>
    </rPh>
    <rPh sb="2" eb="4">
      <t>ワリアイ</t>
    </rPh>
    <phoneticPr fontId="1"/>
  </si>
  <si>
    <t>-</t>
    <phoneticPr fontId="1"/>
  </si>
  <si>
    <t>時間（分）</t>
    <rPh sb="0" eb="2">
      <t>ジカン</t>
    </rPh>
    <rPh sb="3" eb="4">
      <t>フン</t>
    </rPh>
    <phoneticPr fontId="1"/>
  </si>
  <si>
    <t>コアタイム</t>
    <phoneticPr fontId="1"/>
  </si>
  <si>
    <t>合計</t>
    <rPh sb="0" eb="2">
      <t>ゴウケイ</t>
    </rPh>
    <phoneticPr fontId="1"/>
  </si>
  <si>
    <t>営業日</t>
    <rPh sb="0" eb="3">
      <t>エイギョウビ</t>
    </rPh>
    <phoneticPr fontId="1"/>
  </si>
  <si>
    <t>最長</t>
    <rPh sb="0" eb="2">
      <t>サイチョウ</t>
    </rPh>
    <phoneticPr fontId="1"/>
  </si>
  <si>
    <t>450分</t>
    <rPh sb="3" eb="4">
      <t>フン</t>
    </rPh>
    <phoneticPr fontId="1"/>
  </si>
  <si>
    <t>小さい方から配分する？</t>
    <rPh sb="0" eb="1">
      <t>チイ</t>
    </rPh>
    <rPh sb="3" eb="4">
      <t>ホウ</t>
    </rPh>
    <rPh sb="6" eb="8">
      <t>ハイブン</t>
    </rPh>
    <phoneticPr fontId="1"/>
  </si>
  <si>
    <t>休日出社</t>
    <rPh sb="0" eb="2">
      <t>キュウジツ</t>
    </rPh>
    <phoneticPr fontId="1"/>
  </si>
  <si>
    <t>差異</t>
    <rPh sb="0" eb="2">
      <t>サイ</t>
    </rPh>
    <phoneticPr fontId="1"/>
  </si>
  <si>
    <t>プロジェクト3</t>
    <phoneticPr fontId="1"/>
  </si>
  <si>
    <t>プロジェクト2</t>
    <phoneticPr fontId="1"/>
  </si>
  <si>
    <t>共通間接</t>
    <phoneticPr fontId="1"/>
  </si>
  <si>
    <t>配分済み</t>
    <rPh sb="0" eb="2">
      <t>ハイブン</t>
    </rPh>
    <rPh sb="2" eb="3">
      <t>ス</t>
    </rPh>
    <phoneticPr fontId="1"/>
  </si>
  <si>
    <t>予定時間（分）</t>
    <rPh sb="0" eb="2">
      <t>ヨテイ</t>
    </rPh>
    <rPh sb="2" eb="4">
      <t>ジカン</t>
    </rPh>
    <rPh sb="5" eb="6">
      <t>フン</t>
    </rPh>
    <phoneticPr fontId="1"/>
  </si>
  <si>
    <t>合計</t>
  </si>
  <si>
    <t>勤務時間合計</t>
    <rPh sb="0" eb="2">
      <t>キンム</t>
    </rPh>
    <rPh sb="2" eb="4">
      <t>ジカン</t>
    </rPh>
    <rPh sb="4" eb="6">
      <t>ゴウケイ</t>
    </rPh>
    <phoneticPr fontId="1"/>
  </si>
  <si>
    <t>控除時間合計</t>
    <rPh sb="0" eb="2">
      <t>コウジョ</t>
    </rPh>
    <rPh sb="2" eb="4">
      <t>ジカン</t>
    </rPh>
    <rPh sb="4" eb="6">
      <t>ゴウケイ</t>
    </rPh>
    <phoneticPr fontId="1"/>
  </si>
  <si>
    <t>労働時間合計</t>
    <rPh sb="0" eb="2">
      <t>ロウドウ</t>
    </rPh>
    <rPh sb="2" eb="4">
      <t>ジカン</t>
    </rPh>
    <rPh sb="4" eb="6">
      <t>ゴウケイ</t>
    </rPh>
    <phoneticPr fontId="1"/>
  </si>
  <si>
    <t>-</t>
    <phoneticPr fontId="1"/>
  </si>
  <si>
    <t>有給休暇</t>
  </si>
  <si>
    <t>プロジェクト2</t>
  </si>
  <si>
    <t>プロジェクト1</t>
  </si>
  <si>
    <t>プロジェクト3</t>
  </si>
  <si>
    <t>差分（分）</t>
    <rPh sb="0" eb="2">
      <t>サブン</t>
    </rPh>
    <rPh sb="3" eb="4">
      <t>フン</t>
    </rPh>
    <phoneticPr fontId="1"/>
  </si>
  <si>
    <t>入力済時間（分）</t>
    <rPh sb="0" eb="2">
      <t>ニュウリョク</t>
    </rPh>
    <rPh sb="2" eb="3">
      <t>ス</t>
    </rPh>
    <rPh sb="3" eb="5">
      <t>ジカン</t>
    </rPh>
    <rPh sb="6" eb="7">
      <t>フン</t>
    </rPh>
    <phoneticPr fontId="1"/>
  </si>
  <si>
    <t>入力済（分）</t>
    <rPh sb="0" eb="2">
      <t>ニュウリョク</t>
    </rPh>
    <rPh sb="2" eb="3">
      <t>ス</t>
    </rPh>
    <rPh sb="4" eb="5">
      <t>フン</t>
    </rPh>
    <phoneticPr fontId="1"/>
  </si>
  <si>
    <t>C残（分）</t>
    <rPh sb="1" eb="2">
      <t>ザン</t>
    </rPh>
    <rPh sb="3" eb="4">
      <t>フン</t>
    </rPh>
    <phoneticPr fontId="1"/>
  </si>
  <si>
    <t>出勤時刻</t>
    <rPh sb="0" eb="2">
      <t>シュッキン</t>
    </rPh>
    <rPh sb="2" eb="4">
      <t>ジコク</t>
    </rPh>
    <phoneticPr fontId="1"/>
  </si>
  <si>
    <t>退勤時刻</t>
    <rPh sb="0" eb="2">
      <t>タイキン</t>
    </rPh>
    <rPh sb="2" eb="4">
      <t>ジコク</t>
    </rPh>
    <phoneticPr fontId="1"/>
  </si>
  <si>
    <t>必要に応じて変更</t>
    <rPh sb="0" eb="2">
      <t>ヒツヨウ</t>
    </rPh>
    <rPh sb="3" eb="4">
      <t>オウ</t>
    </rPh>
    <rPh sb="6" eb="8">
      <t>ヘンコウ</t>
    </rPh>
    <phoneticPr fontId="1"/>
  </si>
  <si>
    <t>関数で自動入力</t>
    <rPh sb="0" eb="2">
      <t>カンスウ</t>
    </rPh>
    <rPh sb="3" eb="5">
      <t>ジドウ</t>
    </rPh>
    <rPh sb="5" eb="7">
      <t>ニュウリョク</t>
    </rPh>
    <phoneticPr fontId="1"/>
  </si>
  <si>
    <t>必須入力</t>
    <rPh sb="0" eb="2">
      <t>ヒッス</t>
    </rPh>
    <rPh sb="2" eb="4">
      <t>ニュウリョク</t>
    </rPh>
    <phoneticPr fontId="1"/>
  </si>
</sst>
</file>

<file path=xl/styles.xml><?xml version="1.0" encoding="utf-8"?>
<styleSheet xmlns="http://schemas.openxmlformats.org/spreadsheetml/2006/main">
  <numFmts count="9">
    <numFmt numFmtId="176" formatCode="yyyy/mm"/>
    <numFmt numFmtId="177" formatCode="m/d"/>
    <numFmt numFmtId="178" formatCode="aaa"/>
    <numFmt numFmtId="179" formatCode="h:mm;@"/>
    <numFmt numFmtId="180" formatCode="yyyy/m/d\ h:mm;@"/>
    <numFmt numFmtId="181" formatCode="0&quot;分&quot;"/>
    <numFmt numFmtId="182" formatCode="yyyy/mm/dd\ hh:mm;@"/>
    <numFmt numFmtId="183" formatCode="0_ "/>
    <numFmt numFmtId="184" formatCode="0&quot;時間&quot;"/>
  </numFmts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indexed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theme="4" tint="0.59999389629810485"/>
      </patternFill>
    </fill>
    <fill>
      <patternFill patternType="solid">
        <fgColor rgb="FF92D050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indexed="44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4" borderId="5" xfId="0" applyFont="1" applyFill="1" applyBorder="1">
      <alignment vertical="center"/>
    </xf>
    <xf numFmtId="180" fontId="0" fillId="4" borderId="1" xfId="0" applyNumberFormat="1" applyFont="1" applyFill="1" applyBorder="1">
      <alignment vertical="center"/>
    </xf>
    <xf numFmtId="0" fontId="0" fillId="5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180" fontId="0" fillId="5" borderId="1" xfId="0" applyNumberFormat="1" applyFont="1" applyFill="1" applyBorder="1">
      <alignment vertical="center"/>
    </xf>
    <xf numFmtId="0" fontId="0" fillId="4" borderId="2" xfId="0" applyFont="1" applyFill="1" applyBorder="1">
      <alignment vertical="center"/>
    </xf>
    <xf numFmtId="180" fontId="0" fillId="4" borderId="9" xfId="0" applyNumberFormat="1" applyFont="1" applyFill="1" applyBorder="1">
      <alignment vertical="center"/>
    </xf>
    <xf numFmtId="180" fontId="0" fillId="5" borderId="9" xfId="0" applyNumberFormat="1" applyFont="1" applyFill="1" applyBorder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0" fillId="4" borderId="15" xfId="0" applyFont="1" applyFill="1" applyBorder="1">
      <alignment vertical="center"/>
    </xf>
    <xf numFmtId="0" fontId="0" fillId="2" borderId="16" xfId="0" applyFont="1" applyFill="1" applyBorder="1">
      <alignment vertical="center"/>
    </xf>
    <xf numFmtId="180" fontId="0" fillId="4" borderId="17" xfId="0" applyNumberFormat="1" applyFont="1" applyFill="1" applyBorder="1">
      <alignment vertical="center"/>
    </xf>
    <xf numFmtId="180" fontId="0" fillId="4" borderId="18" xfId="0" applyNumberFormat="1" applyFont="1" applyFill="1" applyBorder="1">
      <alignment vertical="center"/>
    </xf>
    <xf numFmtId="181" fontId="0" fillId="2" borderId="5" xfId="0" applyNumberFormat="1" applyFont="1" applyFill="1" applyBorder="1">
      <alignment vertical="center"/>
    </xf>
    <xf numFmtId="181" fontId="0" fillId="2" borderId="2" xfId="0" applyNumberFormat="1" applyFont="1" applyFill="1" applyBorder="1">
      <alignment vertical="center"/>
    </xf>
    <xf numFmtId="181" fontId="0" fillId="2" borderId="15" xfId="0" applyNumberFormat="1" applyFont="1" applyFill="1" applyBorder="1">
      <alignment vertical="center"/>
    </xf>
    <xf numFmtId="181" fontId="0" fillId="0" borderId="0" xfId="0" applyNumberFormat="1">
      <alignment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82" fontId="2" fillId="3" borderId="13" xfId="0" applyNumberFormat="1" applyFont="1" applyFill="1" applyBorder="1" applyAlignment="1">
      <alignment horizontal="center" vertical="center"/>
    </xf>
    <xf numFmtId="0" fontId="0" fillId="0" borderId="19" xfId="0" applyBorder="1">
      <alignment vertical="center"/>
    </xf>
    <xf numFmtId="0" fontId="0" fillId="5" borderId="2" xfId="0" applyFill="1" applyBorder="1">
      <alignment vertical="center"/>
    </xf>
    <xf numFmtId="20" fontId="0" fillId="0" borderId="19" xfId="0" applyNumberFormat="1" applyBorder="1">
      <alignment vertical="center"/>
    </xf>
    <xf numFmtId="181" fontId="0" fillId="0" borderId="19" xfId="0" applyNumberFormat="1" applyBorder="1" applyAlignment="1">
      <alignment horizontal="center" vertical="center" wrapText="1"/>
    </xf>
    <xf numFmtId="20" fontId="0" fillId="0" borderId="20" xfId="0" applyNumberFormat="1" applyBorder="1">
      <alignment vertical="center"/>
    </xf>
    <xf numFmtId="0" fontId="0" fillId="0" borderId="20" xfId="0" applyBorder="1">
      <alignment vertical="center"/>
    </xf>
    <xf numFmtId="179" fontId="4" fillId="0" borderId="5" xfId="0" applyNumberFormat="1" applyFont="1" applyFill="1" applyBorder="1">
      <alignment vertical="center"/>
    </xf>
    <xf numFmtId="179" fontId="4" fillId="0" borderId="2" xfId="0" applyNumberFormat="1" applyFont="1" applyFill="1" applyBorder="1">
      <alignment vertical="center"/>
    </xf>
    <xf numFmtId="179" fontId="3" fillId="0" borderId="5" xfId="0" applyNumberFormat="1" applyFont="1" applyFill="1" applyBorder="1">
      <alignment vertical="center"/>
    </xf>
    <xf numFmtId="179" fontId="3" fillId="0" borderId="2" xfId="0" applyNumberFormat="1" applyFont="1" applyFill="1" applyBorder="1">
      <alignment vertical="center"/>
    </xf>
    <xf numFmtId="0" fontId="0" fillId="0" borderId="19" xfId="0" applyBorder="1" applyAlignment="1">
      <alignment horizontal="center" vertical="center"/>
    </xf>
    <xf numFmtId="180" fontId="0" fillId="0" borderId="9" xfId="0" applyNumberFormat="1" applyFont="1" applyFill="1" applyBorder="1">
      <alignment vertical="center"/>
    </xf>
    <xf numFmtId="181" fontId="0" fillId="0" borderId="19" xfId="0" applyNumberFormat="1" applyBorder="1">
      <alignment vertical="center"/>
    </xf>
    <xf numFmtId="183" fontId="2" fillId="3" borderId="11" xfId="0" applyNumberFormat="1" applyFont="1" applyFill="1" applyBorder="1" applyAlignment="1">
      <alignment horizontal="center" vertical="center" wrapText="1"/>
    </xf>
    <xf numFmtId="183" fontId="0" fillId="4" borderId="5" xfId="0" applyNumberFormat="1" applyFont="1" applyFill="1" applyBorder="1">
      <alignment vertical="center"/>
    </xf>
    <xf numFmtId="183" fontId="0" fillId="5" borderId="2" xfId="0" applyNumberFormat="1" applyFont="1" applyFill="1" applyBorder="1">
      <alignment vertical="center"/>
    </xf>
    <xf numFmtId="183" fontId="0" fillId="4" borderId="2" xfId="0" applyNumberFormat="1" applyFont="1" applyFill="1" applyBorder="1">
      <alignment vertical="center"/>
    </xf>
    <xf numFmtId="183" fontId="0" fillId="4" borderId="15" xfId="0" applyNumberFormat="1" applyFont="1" applyFill="1" applyBorder="1">
      <alignment vertical="center"/>
    </xf>
    <xf numFmtId="183" fontId="0" fillId="0" borderId="0" xfId="0" applyNumberFormat="1">
      <alignment vertical="center"/>
    </xf>
    <xf numFmtId="184" fontId="0" fillId="0" borderId="19" xfId="0" applyNumberFormat="1" applyBorder="1">
      <alignment vertical="center"/>
    </xf>
    <xf numFmtId="0" fontId="0" fillId="0" borderId="19" xfId="0" applyBorder="1" applyAlignment="1">
      <alignment horizontal="center" vertical="center"/>
    </xf>
    <xf numFmtId="181" fontId="4" fillId="0" borderId="5" xfId="0" applyNumberFormat="1" applyFont="1" applyFill="1" applyBorder="1">
      <alignment vertical="center"/>
    </xf>
    <xf numFmtId="181" fontId="4" fillId="0" borderId="2" xfId="0" applyNumberFormat="1" applyFont="1" applyFill="1" applyBorder="1">
      <alignment vertical="center"/>
    </xf>
    <xf numFmtId="181" fontId="4" fillId="0" borderId="15" xfId="0" applyNumberFormat="1" applyFont="1" applyFill="1" applyBorder="1">
      <alignment vertical="center"/>
    </xf>
    <xf numFmtId="0" fontId="0" fillId="0" borderId="21" xfId="0" applyBorder="1">
      <alignment vertical="center"/>
    </xf>
    <xf numFmtId="181" fontId="0" fillId="0" borderId="21" xfId="0" applyNumberFormat="1" applyBorder="1">
      <alignment vertical="center"/>
    </xf>
    <xf numFmtId="0" fontId="0" fillId="0" borderId="19" xfId="0" applyNumberFormat="1" applyBorder="1">
      <alignment vertical="center"/>
    </xf>
    <xf numFmtId="0" fontId="0" fillId="0" borderId="22" xfId="0" applyNumberFormat="1" applyBorder="1">
      <alignment vertical="center"/>
    </xf>
    <xf numFmtId="181" fontId="0" fillId="0" borderId="22" xfId="0" applyNumberFormat="1" applyBorder="1">
      <alignment vertical="center"/>
    </xf>
    <xf numFmtId="0" fontId="0" fillId="0" borderId="23" xfId="0" applyFill="1" applyBorder="1">
      <alignment vertical="center"/>
    </xf>
    <xf numFmtId="182" fontId="0" fillId="0" borderId="24" xfId="0" applyNumberFormat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Border="1">
      <alignment vertical="center"/>
    </xf>
    <xf numFmtId="0" fontId="0" fillId="0" borderId="27" xfId="0" applyNumberFormat="1" applyBorder="1">
      <alignment vertical="center"/>
    </xf>
    <xf numFmtId="181" fontId="0" fillId="0" borderId="27" xfId="0" applyNumberFormat="1" applyBorder="1">
      <alignment vertical="center"/>
    </xf>
    <xf numFmtId="0" fontId="0" fillId="0" borderId="28" xfId="0" applyNumberFormat="1" applyBorder="1">
      <alignment vertical="center"/>
    </xf>
    <xf numFmtId="0" fontId="0" fillId="0" borderId="29" xfId="0" applyBorder="1">
      <alignment vertical="center"/>
    </xf>
    <xf numFmtId="0" fontId="0" fillId="0" borderId="30" xfId="0" applyNumberFormat="1" applyBorder="1">
      <alignment vertical="center"/>
    </xf>
    <xf numFmtId="0" fontId="0" fillId="0" borderId="31" xfId="0" applyBorder="1">
      <alignment vertical="center"/>
    </xf>
    <xf numFmtId="181" fontId="0" fillId="0" borderId="32" xfId="0" applyNumberFormat="1" applyBorder="1">
      <alignment vertical="center"/>
    </xf>
    <xf numFmtId="0" fontId="0" fillId="0" borderId="34" xfId="0" applyBorder="1">
      <alignment vertical="center"/>
    </xf>
    <xf numFmtId="0" fontId="0" fillId="0" borderId="35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4" xfId="0" applyNumberFormat="1" applyBorder="1">
      <alignment vertical="center"/>
    </xf>
    <xf numFmtId="0" fontId="0" fillId="6" borderId="19" xfId="0" applyNumberFormat="1" applyFill="1" applyBorder="1">
      <alignment vertical="center"/>
    </xf>
    <xf numFmtId="0" fontId="0" fillId="6" borderId="32" xfId="0" applyNumberFormat="1" applyFill="1" applyBorder="1">
      <alignment vertical="center"/>
    </xf>
    <xf numFmtId="0" fontId="0" fillId="6" borderId="30" xfId="0" applyNumberFormat="1" applyFill="1" applyBorder="1">
      <alignment vertical="center"/>
    </xf>
    <xf numFmtId="0" fontId="0" fillId="6" borderId="33" xfId="0" applyNumberFormat="1" applyFill="1" applyBorder="1">
      <alignment vertical="center"/>
    </xf>
    <xf numFmtId="178" fontId="0" fillId="2" borderId="5" xfId="0" applyNumberFormat="1" applyFont="1" applyFill="1" applyBorder="1" applyAlignment="1">
      <alignment horizontal="center" vertical="center"/>
    </xf>
    <xf numFmtId="178" fontId="0" fillId="2" borderId="2" xfId="0" applyNumberFormat="1" applyFont="1" applyFill="1" applyBorder="1" applyAlignment="1">
      <alignment horizontal="center" vertical="center"/>
    </xf>
    <xf numFmtId="178" fontId="0" fillId="2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7" fontId="0" fillId="2" borderId="7" xfId="0" applyNumberFormat="1" applyFont="1" applyFill="1" applyBorder="1" applyAlignment="1">
      <alignment horizontal="center" vertical="center"/>
    </xf>
    <xf numFmtId="177" fontId="0" fillId="2" borderId="8" xfId="0" applyNumberFormat="1" applyFont="1" applyFill="1" applyBorder="1" applyAlignment="1">
      <alignment horizontal="center" vertical="center"/>
    </xf>
    <xf numFmtId="177" fontId="0" fillId="2" borderId="14" xfId="0" applyNumberFormat="1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15" xfId="0" applyFont="1" applyFill="1" applyBorder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3" xfId="0" applyFill="1" applyBorder="1">
      <alignment vertical="center"/>
    </xf>
    <xf numFmtId="181" fontId="0" fillId="0" borderId="24" xfId="0" applyNumberFormat="1" applyBorder="1">
      <alignment vertical="center"/>
    </xf>
    <xf numFmtId="179" fontId="4" fillId="7" borderId="15" xfId="0" applyNumberFormat="1" applyFont="1" applyFill="1" applyBorder="1">
      <alignment vertical="center"/>
    </xf>
    <xf numFmtId="180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81" fontId="0" fillId="0" borderId="5" xfId="0" applyNumberFormat="1" applyFont="1" applyFill="1" applyBorder="1">
      <alignment vertical="center"/>
    </xf>
    <xf numFmtId="181" fontId="0" fillId="0" borderId="2" xfId="0" applyNumberFormat="1" applyFont="1" applyFill="1" applyBorder="1">
      <alignment vertical="center"/>
    </xf>
    <xf numFmtId="181" fontId="0" fillId="0" borderId="15" xfId="0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36" xfId="0" applyBorder="1">
      <alignment vertical="center"/>
    </xf>
    <xf numFmtId="0" fontId="0" fillId="0" borderId="37" xfId="0" applyNumberFormat="1" applyBorder="1">
      <alignment vertical="center"/>
    </xf>
    <xf numFmtId="181" fontId="0" fillId="0" borderId="37" xfId="0" applyNumberFormat="1" applyBorder="1">
      <alignment vertical="center"/>
    </xf>
    <xf numFmtId="0" fontId="0" fillId="0" borderId="38" xfId="0" applyNumberFormat="1" applyBorder="1">
      <alignment vertical="center"/>
    </xf>
    <xf numFmtId="0" fontId="0" fillId="0" borderId="39" xfId="0" applyFill="1" applyBorder="1">
      <alignment vertical="center"/>
    </xf>
    <xf numFmtId="0" fontId="0" fillId="0" borderId="40" xfId="0" applyNumberFormat="1" applyBorder="1">
      <alignment vertical="center"/>
    </xf>
    <xf numFmtId="182" fontId="0" fillId="0" borderId="40" xfId="0" applyNumberFormat="1" applyBorder="1">
      <alignment vertical="center"/>
    </xf>
    <xf numFmtId="0" fontId="0" fillId="0" borderId="41" xfId="0" applyFill="1" applyBorder="1">
      <alignment vertical="center"/>
    </xf>
    <xf numFmtId="0" fontId="0" fillId="6" borderId="27" xfId="0" applyNumberFormat="1" applyFill="1" applyBorder="1">
      <alignment vertical="center"/>
    </xf>
    <xf numFmtId="0" fontId="0" fillId="6" borderId="28" xfId="0" applyNumberFormat="1" applyFill="1" applyBorder="1">
      <alignment vertical="center"/>
    </xf>
    <xf numFmtId="0" fontId="0" fillId="0" borderId="32" xfId="0" applyNumberFormat="1" applyBorder="1">
      <alignment vertical="center"/>
    </xf>
    <xf numFmtId="0" fontId="0" fillId="0" borderId="33" xfId="0" applyNumberFormat="1" applyBorder="1">
      <alignment vertical="center"/>
    </xf>
    <xf numFmtId="0" fontId="0" fillId="0" borderId="19" xfId="0" applyNumberFormat="1" applyFill="1" applyBorder="1">
      <alignment vertical="center"/>
    </xf>
    <xf numFmtId="182" fontId="0" fillId="0" borderId="42" xfId="0" applyNumberFormat="1" applyBorder="1">
      <alignment vertical="center"/>
    </xf>
    <xf numFmtId="181" fontId="0" fillId="0" borderId="43" xfId="0" applyNumberFormat="1" applyBorder="1">
      <alignment vertical="center"/>
    </xf>
    <xf numFmtId="181" fontId="0" fillId="0" borderId="44" xfId="0" applyNumberFormat="1" applyBorder="1">
      <alignment vertical="center"/>
    </xf>
    <xf numFmtId="181" fontId="0" fillId="0" borderId="45" xfId="0" applyNumberFormat="1" applyBorder="1">
      <alignment vertical="center"/>
    </xf>
    <xf numFmtId="181" fontId="0" fillId="0" borderId="46" xfId="0" applyNumberFormat="1" applyBorder="1">
      <alignment vertical="center"/>
    </xf>
    <xf numFmtId="181" fontId="0" fillId="0" borderId="47" xfId="0" applyNumberFormat="1" applyBorder="1">
      <alignment vertical="center"/>
    </xf>
    <xf numFmtId="181" fontId="4" fillId="8" borderId="5" xfId="0" applyNumberFormat="1" applyFont="1" applyFill="1" applyBorder="1">
      <alignment vertical="center"/>
    </xf>
    <xf numFmtId="181" fontId="0" fillId="8" borderId="5" xfId="0" applyNumberFormat="1" applyFont="1" applyFill="1" applyBorder="1">
      <alignment vertical="center"/>
    </xf>
    <xf numFmtId="179" fontId="4" fillId="8" borderId="2" xfId="0" applyNumberFormat="1" applyFont="1" applyFill="1" applyBorder="1">
      <alignment vertical="center"/>
    </xf>
    <xf numFmtId="181" fontId="4" fillId="8" borderId="2" xfId="0" applyNumberFormat="1" applyFont="1" applyFill="1" applyBorder="1">
      <alignment vertical="center"/>
    </xf>
    <xf numFmtId="181" fontId="0" fillId="8" borderId="2" xfId="0" applyNumberFormat="1" applyFont="1" applyFill="1" applyBorder="1">
      <alignment vertical="center"/>
    </xf>
    <xf numFmtId="181" fontId="4" fillId="8" borderId="15" xfId="0" applyNumberFormat="1" applyFont="1" applyFill="1" applyBorder="1">
      <alignment vertical="center"/>
    </xf>
    <xf numFmtId="181" fontId="0" fillId="8" borderId="15" xfId="0" applyNumberFormat="1" applyFon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3" xfId="0" applyFill="1" applyBorder="1">
      <alignment vertical="center"/>
    </xf>
    <xf numFmtId="0" fontId="0" fillId="8" borderId="3" xfId="0" applyFont="1" applyFill="1" applyBorder="1">
      <alignment vertical="center"/>
    </xf>
    <xf numFmtId="0" fontId="0" fillId="8" borderId="16" xfId="0" applyFont="1" applyFill="1" applyBorder="1">
      <alignment vertical="center"/>
    </xf>
    <xf numFmtId="180" fontId="0" fillId="9" borderId="1" xfId="0" applyNumberFormat="1" applyFont="1" applyFill="1" applyBorder="1">
      <alignment vertical="center"/>
    </xf>
    <xf numFmtId="180" fontId="0" fillId="9" borderId="9" xfId="0" applyNumberFormat="1" applyFont="1" applyFill="1" applyBorder="1">
      <alignment vertical="center"/>
    </xf>
    <xf numFmtId="180" fontId="0" fillId="10" borderId="1" xfId="0" applyNumberFormat="1" applyFont="1" applyFill="1" applyBorder="1">
      <alignment vertical="center"/>
    </xf>
    <xf numFmtId="180" fontId="0" fillId="10" borderId="9" xfId="0" applyNumberFormat="1" applyFont="1" applyFill="1" applyBorder="1">
      <alignment vertical="center"/>
    </xf>
    <xf numFmtId="180" fontId="0" fillId="11" borderId="9" xfId="0" applyNumberFormat="1" applyFont="1" applyFill="1" applyBorder="1">
      <alignment vertical="center"/>
    </xf>
    <xf numFmtId="180" fontId="0" fillId="9" borderId="17" xfId="0" applyNumberFormat="1" applyFont="1" applyFill="1" applyBorder="1">
      <alignment vertical="center"/>
    </xf>
    <xf numFmtId="180" fontId="0" fillId="9" borderId="18" xfId="0" applyNumberFormat="1" applyFont="1" applyFill="1" applyBorder="1">
      <alignment vertical="center"/>
    </xf>
    <xf numFmtId="183" fontId="0" fillId="9" borderId="5" xfId="0" applyNumberFormat="1" applyFont="1" applyFill="1" applyBorder="1">
      <alignment vertical="center"/>
    </xf>
    <xf numFmtId="0" fontId="0" fillId="9" borderId="5" xfId="0" applyFont="1" applyFill="1" applyBorder="1">
      <alignment vertical="center"/>
    </xf>
    <xf numFmtId="183" fontId="0" fillId="10" borderId="2" xfId="0" applyNumberFormat="1" applyFont="1" applyFill="1" applyBorder="1">
      <alignment vertical="center"/>
    </xf>
    <xf numFmtId="0" fontId="0" fillId="10" borderId="2" xfId="0" applyFont="1" applyFill="1" applyBorder="1">
      <alignment vertical="center"/>
    </xf>
    <xf numFmtId="183" fontId="0" fillId="9" borderId="2" xfId="0" applyNumberFormat="1" applyFont="1" applyFill="1" applyBorder="1">
      <alignment vertical="center"/>
    </xf>
    <xf numFmtId="0" fontId="0" fillId="9" borderId="2" xfId="0" applyFont="1" applyFill="1" applyBorder="1">
      <alignment vertical="center"/>
    </xf>
    <xf numFmtId="0" fontId="0" fillId="10" borderId="2" xfId="0" applyFill="1" applyBorder="1">
      <alignment vertical="center"/>
    </xf>
    <xf numFmtId="183" fontId="0" fillId="9" borderId="15" xfId="0" applyNumberFormat="1" applyFont="1" applyFill="1" applyBorder="1">
      <alignment vertical="center"/>
    </xf>
    <xf numFmtId="0" fontId="0" fillId="9" borderId="15" xfId="0" applyFont="1" applyFill="1" applyBorder="1">
      <alignment vertical="center"/>
    </xf>
    <xf numFmtId="0" fontId="0" fillId="11" borderId="32" xfId="0" applyNumberFormat="1" applyFill="1" applyBorder="1">
      <alignment vertical="center"/>
    </xf>
    <xf numFmtId="0" fontId="0" fillId="11" borderId="37" xfId="0" applyNumberFormat="1" applyFill="1" applyBorder="1">
      <alignment vertical="center"/>
    </xf>
    <xf numFmtId="0" fontId="0" fillId="11" borderId="19" xfId="0" applyNumberFormat="1" applyFill="1" applyBorder="1">
      <alignment vertical="center"/>
    </xf>
    <xf numFmtId="0" fontId="0" fillId="11" borderId="22" xfId="0" applyNumberFormat="1" applyFill="1" applyBorder="1">
      <alignment vertical="center"/>
    </xf>
    <xf numFmtId="0" fontId="0" fillId="11" borderId="27" xfId="0" applyNumberFormat="1" applyFill="1" applyBorder="1">
      <alignment vertical="center"/>
    </xf>
    <xf numFmtId="181" fontId="0" fillId="12" borderId="21" xfId="0" applyNumberFormat="1" applyFill="1" applyBorder="1">
      <alignment vertical="center"/>
    </xf>
    <xf numFmtId="181" fontId="0" fillId="2" borderId="21" xfId="0" applyNumberFormat="1" applyFill="1" applyBorder="1">
      <alignment vertical="center"/>
    </xf>
    <xf numFmtId="20" fontId="0" fillId="12" borderId="20" xfId="0" applyNumberFormat="1" applyFill="1" applyBorder="1">
      <alignment vertical="center"/>
    </xf>
    <xf numFmtId="20" fontId="0" fillId="12" borderId="19" xfId="0" applyNumberFormat="1" applyFill="1" applyBorder="1">
      <alignment vertical="center"/>
    </xf>
    <xf numFmtId="0" fontId="0" fillId="12" borderId="19" xfId="0" applyFill="1" applyBorder="1">
      <alignment vertical="center"/>
    </xf>
    <xf numFmtId="181" fontId="0" fillId="2" borderId="27" xfId="0" applyNumberFormat="1" applyFill="1" applyBorder="1">
      <alignment vertical="center"/>
    </xf>
    <xf numFmtId="181" fontId="0" fillId="2" borderId="43" xfId="0" applyNumberFormat="1" applyFill="1" applyBorder="1">
      <alignment vertical="center"/>
    </xf>
    <xf numFmtId="181" fontId="0" fillId="2" borderId="19" xfId="0" applyNumberFormat="1" applyFill="1" applyBorder="1">
      <alignment vertical="center"/>
    </xf>
    <xf numFmtId="181" fontId="0" fillId="2" borderId="32" xfId="0" applyNumberFormat="1" applyFill="1" applyBorder="1">
      <alignment vertical="center"/>
    </xf>
    <xf numFmtId="181" fontId="0" fillId="2" borderId="44" xfId="0" applyNumberFormat="1" applyFill="1" applyBorder="1">
      <alignment vertical="center"/>
    </xf>
    <xf numFmtId="181" fontId="0" fillId="2" borderId="37" xfId="0" applyNumberFormat="1" applyFill="1" applyBorder="1">
      <alignment vertical="center"/>
    </xf>
    <xf numFmtId="181" fontId="0" fillId="2" borderId="45" xfId="0" applyNumberFormat="1" applyFill="1" applyBorder="1">
      <alignment vertical="center"/>
    </xf>
    <xf numFmtId="181" fontId="0" fillId="2" borderId="22" xfId="0" applyNumberFormat="1" applyFill="1" applyBorder="1">
      <alignment vertical="center"/>
    </xf>
    <xf numFmtId="181" fontId="0" fillId="2" borderId="46" xfId="0" applyNumberFormat="1" applyFill="1" applyBorder="1">
      <alignment vertical="center"/>
    </xf>
    <xf numFmtId="181" fontId="0" fillId="2" borderId="24" xfId="0" applyNumberFormat="1" applyFill="1" applyBorder="1">
      <alignment vertical="center"/>
    </xf>
    <xf numFmtId="181" fontId="0" fillId="2" borderId="47" xfId="0" applyNumberFormat="1" applyFill="1" applyBorder="1">
      <alignment vertical="center"/>
    </xf>
    <xf numFmtId="0" fontId="0" fillId="2" borderId="28" xfId="0" applyNumberFormat="1" applyFill="1" applyBorder="1">
      <alignment vertical="center"/>
    </xf>
    <xf numFmtId="0" fontId="0" fillId="2" borderId="30" xfId="0" applyNumberFormat="1" applyFill="1" applyBorder="1">
      <alignment vertical="center"/>
    </xf>
    <xf numFmtId="0" fontId="0" fillId="2" borderId="33" xfId="0" applyNumberFormat="1" applyFill="1" applyBorder="1">
      <alignment vertical="center"/>
    </xf>
    <xf numFmtId="0" fontId="0" fillId="2" borderId="38" xfId="0" applyNumberFormat="1" applyFill="1" applyBorder="1">
      <alignment vertical="center"/>
    </xf>
    <xf numFmtId="0" fontId="0" fillId="2" borderId="35" xfId="0" applyNumberFormat="1" applyFill="1" applyBorder="1">
      <alignment vertical="center"/>
    </xf>
    <xf numFmtId="0" fontId="0" fillId="2" borderId="25" xfId="0" applyFill="1" applyBorder="1">
      <alignment vertical="center"/>
    </xf>
    <xf numFmtId="181" fontId="0" fillId="6" borderId="43" xfId="0" applyNumberFormat="1" applyFill="1" applyBorder="1">
      <alignment vertical="center"/>
    </xf>
    <xf numFmtId="0" fontId="0" fillId="12" borderId="24" xfId="0" applyNumberFormat="1" applyFill="1" applyBorder="1">
      <alignment vertical="center"/>
    </xf>
    <xf numFmtId="0" fontId="0" fillId="2" borderId="24" xfId="0" applyNumberFormat="1" applyFill="1" applyBorder="1">
      <alignment vertical="center"/>
    </xf>
    <xf numFmtId="0" fontId="0" fillId="12" borderId="19" xfId="0" applyNumberFormat="1" applyFill="1" applyBorder="1">
      <alignment vertical="center"/>
    </xf>
    <xf numFmtId="0" fontId="0" fillId="12" borderId="32" xfId="0" applyNumberFormat="1" applyFill="1" applyBorder="1">
      <alignment vertical="center"/>
    </xf>
    <xf numFmtId="0" fontId="0" fillId="12" borderId="37" xfId="0" applyNumberFormat="1" applyFill="1" applyBorder="1">
      <alignment vertical="center"/>
    </xf>
    <xf numFmtId="0" fontId="0" fillId="12" borderId="22" xfId="0" applyNumberFormat="1" applyFill="1" applyBorder="1">
      <alignment vertical="center"/>
    </xf>
    <xf numFmtId="0" fontId="0" fillId="12" borderId="27" xfId="0" applyNumberFormat="1" applyFill="1" applyBorder="1">
      <alignment vertical="center"/>
    </xf>
    <xf numFmtId="179" fontId="4" fillId="2" borderId="5" xfId="0" applyNumberFormat="1" applyFont="1" applyFill="1" applyBorder="1">
      <alignment vertical="center"/>
    </xf>
    <xf numFmtId="179" fontId="4" fillId="2" borderId="2" xfId="0" applyNumberFormat="1" applyFont="1" applyFill="1" applyBorder="1">
      <alignment vertical="center"/>
    </xf>
    <xf numFmtId="0" fontId="0" fillId="11" borderId="19" xfId="0" applyFill="1" applyBorder="1" applyAlignment="1">
      <alignment horizontal="left" vertical="center"/>
    </xf>
    <xf numFmtId="0" fontId="0" fillId="12" borderId="19" xfId="0" applyFill="1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179" fontId="4" fillId="13" borderId="15" xfId="0" applyNumberFormat="1" applyFont="1" applyFill="1" applyBorder="1">
      <alignment vertical="center"/>
    </xf>
  </cellXfs>
  <cellStyles count="1">
    <cellStyle name="標準" xfId="0" builtinId="0"/>
  </cellStyles>
  <dxfs count="62">
    <dxf>
      <fill>
        <patternFill patternType="solid">
          <fgColor auto="1"/>
          <bgColor rgb="FFFFFF99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79" formatCode="h:mm;@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81" formatCode="0&quot;分&quot;"/>
      <fill>
        <patternFill patternType="solid">
          <fgColor indexed="64"/>
          <bgColor rgb="FF00B0F0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79" formatCode="h:mm;@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59999389629810485"/>
          <bgColor rgb="FF92D050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59999389629810485"/>
          <bgColor rgb="FF92D050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3" formatCode="0_ "/>
      <fill>
        <patternFill patternType="solid">
          <fgColor theme="4" tint="0.59999389629810485"/>
          <bgColor rgb="FF92D050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0" formatCode="yyyy/m/d\ h:mm;@"/>
      <fill>
        <patternFill patternType="solid">
          <fgColor theme="4" tint="0.59999389629810485"/>
          <bgColor rgb="FF92D050"/>
        </patternFill>
      </fill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0" formatCode="yyyy/m/d\ h:mm;@"/>
      <fill>
        <patternFill patternType="solid">
          <fgColor theme="4" tint="0.59999389629810485"/>
          <bgColor rgb="FF92D050"/>
        </patternFill>
      </fill>
      <border diagonalUp="0" diagonalDown="0" outline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auto="1"/>
          <bgColor rgb="FFFFFF99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77" formatCode="m/d"/>
      <fill>
        <patternFill patternType="solid">
          <fgColor indexed="64"/>
          <bgColor rgb="FFCCCCFF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auto="1"/>
          <bgColor rgb="FFFFFF99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indexed="64"/>
          <bgColor rgb="FF00B0F0"/>
        </patternFill>
      </fill>
      <border diagonalUp="0" diagonalDown="0" outline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1" formatCode="0&quot;分&quot;"/>
      <fill>
        <patternFill patternType="solid">
          <fgColor indexed="64"/>
          <bgColor rgb="FFCCCCFF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1" formatCode="0&quot;分&quot;"/>
      <fill>
        <patternFill patternType="solid">
          <fgColor indexed="64"/>
          <bgColor rgb="FF00B0F0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78" formatCode="aaa"/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1" formatCode="0&quot;分&quot;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1" formatCode="0&quot;分&quot;"/>
      <fill>
        <patternFill patternType="solid">
          <fgColor indexed="64"/>
          <bgColor rgb="FFCCCCFF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81" formatCode="0&quot;分&quot;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0" formatCode="yyyy/m/d\ h:mm;@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0" formatCode="yyyy/m/d\ h:mm;@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indexed="64"/>
          <bgColor rgb="FFCCCCFF"/>
        </patternFill>
      </fill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1" formatCode="0&quot;分&quot;"/>
      <fill>
        <patternFill patternType="solid">
          <fgColor indexed="64"/>
          <bgColor rgb="FFCCCCFF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1" formatCode="0&quot;分&quot;"/>
      <fill>
        <patternFill patternType="solid">
          <fgColor indexed="64"/>
          <bgColor rgb="FFCCCCFF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81" formatCode="0&quot;分&quot;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79" formatCode="h:mm;@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79" formatCode="h:mm;@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3" formatCode="0_ 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78" formatCode="aaa"/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77" formatCode="m/d"/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 tint="-0.24994659260841701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 patternType="solid">
          <fgColor auto="1"/>
          <bgColor rgb="FFFFFF99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0" formatCode="yyyy/m/d\ h:mm;@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0" formatCode="yyyy/m/d\ h:mm;@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indexed="64"/>
          <bgColor rgb="FFCCCCFF"/>
        </patternFill>
      </fill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79" formatCode="h:mm;@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scheme val="minor"/>
      </font>
      <numFmt numFmtId="179" formatCode="h:mm;@"/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83" formatCode="0_ 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78" formatCode="aaa"/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177" formatCode="m/d"/>
      <fill>
        <patternFill patternType="solid">
          <fgColor indexed="64"/>
          <bgColor rgb="FFCCCCFF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</dxfs>
  <tableStyles count="0" defaultTableStyle="TableStyleMedium9" defaultPivotStyle="PivotStyleLight16"/>
  <colors>
    <mruColors>
      <color rgb="FFCCCCFF"/>
      <color rgb="FF66CCFF"/>
      <color rgb="FFFFFF99"/>
      <color rgb="FFFFFFCC"/>
      <color rgb="FFCC99FF"/>
      <color rgb="FFCCE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テーブル2" displayName="テーブル2" ref="A2:N33" totalsRowShown="0" headerRowDxfId="61" tableBorderDxfId="60">
  <autoFilter ref="A2:N33"/>
  <tableColumns count="14">
    <tableColumn id="1" name="日付" dataDxfId="59"/>
    <tableColumn id="2" name="曜日" dataDxfId="58">
      <calculatedColumnFormula>WEEKDAY(A3,1)</calculatedColumnFormula>
    </tableColumn>
    <tableColumn id="3" name="休日" dataDxfId="57">
      <calculatedColumnFormula>IF(B3=7,"○",IF(B3=1,"○",IF(COUNTIF(祝日!$A$1:$A$16,'4月'!A3)&gt;0,"○","")))</calculatedColumnFormula>
    </tableColumn>
    <tableColumn id="4" name="C残" dataDxfId="56"/>
    <tableColumn id="5" name="コアタイム" dataDxfId="55"/>
    <tableColumn id="6" name="休暇" dataDxfId="54"/>
    <tableColumn id="7" name="出勤" dataDxfId="53"/>
    <tableColumn id="8" name="退勤" dataDxfId="52"/>
    <tableColumn id="9" name="勤務時間" dataDxfId="28"/>
    <tableColumn id="10" name="控除時間" dataDxfId="26"/>
    <tableColumn id="11" name="労働時間" dataDxfId="27">
      <calculatedColumnFormula>テーブル2[[#This Row],[勤務時間]]-テーブル2[[#This Row],[控除時間]]</calculatedColumnFormula>
    </tableColumn>
    <tableColumn id="12" name="プロジェクト" dataDxfId="51"/>
    <tableColumn id="13" name="起動" dataDxfId="50"/>
    <tableColumn id="14" name="終了" dataDxfId="4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24" displayName="テーブル24" ref="A2:N33" totalsRowShown="0" headerRowDxfId="20" tableBorderDxfId="19">
  <tableColumns count="14">
    <tableColumn id="1" name="日付" dataDxfId="13"/>
    <tableColumn id="2" name="曜日" dataDxfId="21">
      <calculatedColumnFormula>WEEKDAY(A3,1)</calculatedColumnFormula>
    </tableColumn>
    <tableColumn id="3" name="休日" dataDxfId="8">
      <calculatedColumnFormula>IF(B3=7,"○",IF(B3=1,"○",IF(COUNTIF(祝日!$A$1:$A$16,'5月'!A3)&gt;0,"○","")))</calculatedColumnFormula>
    </tableColumn>
    <tableColumn id="4" name="C残（分）" dataDxfId="7"/>
    <tableColumn id="5" name="コアタイム解除" dataDxfId="6"/>
    <tableColumn id="6" name="休暇" dataDxfId="5"/>
    <tableColumn id="7" name="出勤時刻" dataDxfId="4"/>
    <tableColumn id="8" name="退勤時刻" dataDxfId="2"/>
    <tableColumn id="9" name="勤務時間" dataDxfId="3"/>
    <tableColumn id="10" name="控除時間" dataDxfId="18"/>
    <tableColumn id="11" name="労働時間" dataDxfId="17">
      <calculatedColumnFormula>テーブル24[[#This Row],[勤務時間]]-テーブル24[[#This Row],[控除時間]]</calculatedColumnFormula>
    </tableColumn>
    <tableColumn id="12" name="プロジェクト" dataDxfId="16"/>
    <tableColumn id="13" name="起動" dataDxfId="10"/>
    <tableColumn id="14" name="終了" dataDxfId="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22" displayName="テーブル22" ref="A2:N33" totalsRowShown="0" headerRowDxfId="30" tableBorderDxfId="29">
  <autoFilter ref="A2:N33"/>
  <tableColumns count="14">
    <tableColumn id="1" name="日付" dataDxfId="44"/>
    <tableColumn id="2" name="曜日" dataDxfId="43">
      <calculatedColumnFormula>WEEKDAY(A3,1)</calculatedColumnFormula>
    </tableColumn>
    <tableColumn id="3" name="休日" dataDxfId="42">
      <calculatedColumnFormula>IF(B3=7,"○",IF(B3=1,"○",IF(COUNTIF(祝日!$A$1:$A$16,アルゴリズム3!A3)&gt;0,"○","")))</calculatedColumnFormula>
    </tableColumn>
    <tableColumn id="4" name="C残" dataDxfId="41"/>
    <tableColumn id="5" name="コアタイム" dataDxfId="40"/>
    <tableColumn id="6" name="休暇" dataDxfId="39"/>
    <tableColumn id="7" name="出勤" dataDxfId="38"/>
    <tableColumn id="8" name="退勤" dataDxfId="37"/>
    <tableColumn id="9" name="勤務時間" dataDxfId="36"/>
    <tableColumn id="10" name="控除時間" dataDxfId="35"/>
    <tableColumn id="11" name="労働時間" dataDxfId="34">
      <calculatedColumnFormula>テーブル22[[#This Row],[勤務時間]]-テーブル22[[#This Row],[控除時間]]</calculatedColumnFormula>
    </tableColumn>
    <tableColumn id="12" name="プロジェクト" dataDxfId="33"/>
    <tableColumn id="13" name="起動" dataDxfId="32"/>
    <tableColumn id="14" name="終了" dataDxfId="3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Y55"/>
  <sheetViews>
    <sheetView workbookViewId="0">
      <selection activeCell="M3" sqref="M3:N33"/>
    </sheetView>
  </sheetViews>
  <sheetFormatPr defaultRowHeight="13.5"/>
  <cols>
    <col min="1" max="3" width="9.75" style="76" bestFit="1" customWidth="1"/>
    <col min="4" max="4" width="9.125" style="43" bestFit="1" customWidth="1"/>
    <col min="5" max="5" width="14.25" bestFit="1" customWidth="1"/>
    <col min="6" max="6" width="10.25" bestFit="1" customWidth="1"/>
    <col min="7" max="8" width="9" bestFit="1" customWidth="1"/>
    <col min="9" max="11" width="13.75" bestFit="1" customWidth="1"/>
    <col min="12" max="12" width="15.375" bestFit="1" customWidth="1"/>
    <col min="13" max="13" width="17.25" style="23" bestFit="1" customWidth="1"/>
    <col min="14" max="14" width="16.125" style="23" bestFit="1" customWidth="1"/>
    <col min="15" max="15" width="15.25" bestFit="1" customWidth="1"/>
  </cols>
  <sheetData>
    <row r="1" spans="1:14">
      <c r="A1" s="77">
        <v>42095</v>
      </c>
      <c r="B1" s="35"/>
      <c r="C1" s="35"/>
      <c r="D1" s="90" t="s">
        <v>14</v>
      </c>
      <c r="E1" s="90"/>
      <c r="F1" s="90"/>
      <c r="G1" s="90"/>
      <c r="H1" s="90"/>
      <c r="I1" s="90"/>
      <c r="J1" s="90"/>
      <c r="K1" s="90"/>
      <c r="L1" s="90"/>
      <c r="M1" s="88" t="s">
        <v>3</v>
      </c>
      <c r="N1" s="88"/>
    </row>
    <row r="2" spans="1:14">
      <c r="A2" s="10" t="s">
        <v>0</v>
      </c>
      <c r="B2" s="11" t="s">
        <v>1</v>
      </c>
      <c r="C2" s="11" t="s">
        <v>2</v>
      </c>
      <c r="D2" s="38" t="s">
        <v>8</v>
      </c>
      <c r="E2" s="12" t="s">
        <v>39</v>
      </c>
      <c r="F2" s="12" t="s">
        <v>30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3" t="s">
        <v>6</v>
      </c>
      <c r="M2" s="22" t="s">
        <v>4</v>
      </c>
      <c r="N2" s="24" t="s">
        <v>5</v>
      </c>
    </row>
    <row r="3" spans="1:14">
      <c r="A3" s="78">
        <f>A1</f>
        <v>42095</v>
      </c>
      <c r="B3" s="73">
        <f>WEEKDAY(A3,1)</f>
        <v>4</v>
      </c>
      <c r="C3" s="81" t="str">
        <f>IF(B3=7,"休",IF(B3=1,"休",IF(COUNTIF(祝日!$A$1:$A$16,'4月'!A3)&gt;0,"休","")))</f>
        <v/>
      </c>
      <c r="D3" s="39"/>
      <c r="E3" s="2"/>
      <c r="F3" s="2"/>
      <c r="G3" s="31">
        <v>0.34027777777777773</v>
      </c>
      <c r="H3" s="31">
        <v>0.84027777777777768</v>
      </c>
      <c r="I3" s="46">
        <v>659.99999999999989</v>
      </c>
      <c r="J3" s="91"/>
      <c r="K3" s="18">
        <f>テーブル2[[#This Row],[勤務時間]]-テーブル2[[#This Row],[控除時間]]</f>
        <v>659.99999999999989</v>
      </c>
      <c r="L3" s="84" t="s">
        <v>27</v>
      </c>
      <c r="M3" s="3">
        <v>42095.34375</v>
      </c>
      <c r="N3" s="8">
        <v>42095.835416666669</v>
      </c>
    </row>
    <row r="4" spans="1:14">
      <c r="A4" s="79">
        <f>A3+1</f>
        <v>42096</v>
      </c>
      <c r="B4" s="74">
        <f t="shared" ref="B4:B31" si="0">WEEKDAY(A4,1)</f>
        <v>5</v>
      </c>
      <c r="C4" s="82" t="str">
        <f>IF(B4=7,"休",IF(B4=1,"休",IF(COUNTIF(祝日!$A$1:$A$16,'4月'!A4)&gt;0,"休","")))</f>
        <v/>
      </c>
      <c r="D4" s="40"/>
      <c r="E4" s="4"/>
      <c r="F4" s="4"/>
      <c r="G4" s="32">
        <v>0.30555555555555552</v>
      </c>
      <c r="H4" s="31">
        <v>0.83333333333333326</v>
      </c>
      <c r="I4" s="47">
        <v>699.99999999999989</v>
      </c>
      <c r="J4" s="92"/>
      <c r="K4" s="19">
        <f>テーブル2[[#This Row],[勤務時間]]-テーブル2[[#This Row],[控除時間]]</f>
        <v>699.99999999999989</v>
      </c>
      <c r="L4" s="85" t="s">
        <v>27</v>
      </c>
      <c r="M4" s="6">
        <v>42096.307638888888</v>
      </c>
      <c r="N4" s="9">
        <v>42096.830555555556</v>
      </c>
    </row>
    <row r="5" spans="1:14">
      <c r="A5" s="79">
        <f t="shared" ref="A5:A32" si="1">A4+1</f>
        <v>42097</v>
      </c>
      <c r="B5" s="74">
        <f t="shared" si="0"/>
        <v>6</v>
      </c>
      <c r="C5" s="82" t="str">
        <f>IF(B5=7,"休",IF(B5=1,"休",IF(COUNTIF(祝日!$A$1:$A$16,'4月'!A5)&gt;0,"休","")))</f>
        <v/>
      </c>
      <c r="D5" s="41"/>
      <c r="E5" s="7"/>
      <c r="F5" s="7"/>
      <c r="G5" s="32">
        <v>0.38194444444444442</v>
      </c>
      <c r="H5" s="31">
        <v>0.75</v>
      </c>
      <c r="I5" s="47">
        <v>470</v>
      </c>
      <c r="J5" s="92"/>
      <c r="K5" s="19">
        <f>テーブル2[[#This Row],[勤務時間]]-テーブル2[[#This Row],[控除時間]]</f>
        <v>470</v>
      </c>
      <c r="L5" s="5" t="s">
        <v>59</v>
      </c>
      <c r="M5" s="3">
        <v>42097.385416666664</v>
      </c>
      <c r="N5" s="8">
        <v>42097.75</v>
      </c>
    </row>
    <row r="6" spans="1:14">
      <c r="A6" s="79">
        <f t="shared" si="1"/>
        <v>42098</v>
      </c>
      <c r="B6" s="74">
        <f t="shared" si="0"/>
        <v>7</v>
      </c>
      <c r="C6" s="82" t="str">
        <f>IF(B6=7,"休",IF(B6=1,"休",IF(COUNTIF(祝日!$A$1:$A$16,'4月'!A6)&gt;0,"休","")))</f>
        <v>休</v>
      </c>
      <c r="D6" s="40"/>
      <c r="E6" s="4"/>
      <c r="F6" s="4"/>
      <c r="G6" s="32"/>
      <c r="H6" s="32"/>
      <c r="I6" s="47"/>
      <c r="J6" s="92"/>
      <c r="K6" s="19"/>
      <c r="L6" s="5"/>
      <c r="M6" s="6"/>
      <c r="N6" s="9"/>
    </row>
    <row r="7" spans="1:14">
      <c r="A7" s="79">
        <f t="shared" si="1"/>
        <v>42099</v>
      </c>
      <c r="B7" s="74">
        <f t="shared" si="0"/>
        <v>1</v>
      </c>
      <c r="C7" s="82" t="str">
        <f>IF(B7=7,"休",IF(B7=1,"休",IF(COUNTIF(祝日!$A$1:$A$16,'4月'!A7)&gt;0,"休","")))</f>
        <v>休</v>
      </c>
      <c r="D7" s="41"/>
      <c r="E7" s="7"/>
      <c r="F7" s="7"/>
      <c r="G7" s="32"/>
      <c r="H7" s="32"/>
      <c r="I7" s="47"/>
      <c r="J7" s="92"/>
      <c r="K7" s="19"/>
      <c r="L7" s="5"/>
      <c r="M7" s="3"/>
      <c r="N7" s="8"/>
    </row>
    <row r="8" spans="1:14">
      <c r="A8" s="79">
        <f t="shared" si="1"/>
        <v>42100</v>
      </c>
      <c r="B8" s="74">
        <f t="shared" si="0"/>
        <v>2</v>
      </c>
      <c r="C8" s="82" t="str">
        <f>IF(B8=7,"休",IF(B8=1,"休",IF(COUNTIF(祝日!$A$1:$A$16,'4月'!A8)&gt;0,"休","")))</f>
        <v/>
      </c>
      <c r="D8" s="40"/>
      <c r="E8" s="4"/>
      <c r="F8" s="4"/>
      <c r="G8" s="32">
        <v>0.30555555555555552</v>
      </c>
      <c r="H8" s="32">
        <v>0.84027777777777768</v>
      </c>
      <c r="I8" s="47">
        <v>709.99999999999977</v>
      </c>
      <c r="J8" s="92">
        <v>260</v>
      </c>
      <c r="K8" s="19">
        <f>テーブル2[[#This Row],[勤務時間]]-テーブル2[[#This Row],[控除時間]]</f>
        <v>449.99999999999977</v>
      </c>
      <c r="L8" s="85" t="s">
        <v>59</v>
      </c>
      <c r="M8" s="6">
        <v>42100.307638888888</v>
      </c>
      <c r="N8" s="9">
        <v>42100.835416666669</v>
      </c>
    </row>
    <row r="9" spans="1:14">
      <c r="A9" s="79">
        <f t="shared" si="1"/>
        <v>42101</v>
      </c>
      <c r="B9" s="74">
        <f t="shared" si="0"/>
        <v>3</v>
      </c>
      <c r="C9" s="82" t="str">
        <f>IF(B9=7,"休",IF(B9=1,"休",IF(COUNTIF(祝日!$A$1:$A$16,'4月'!A9)&gt;0,"休","")))</f>
        <v/>
      </c>
      <c r="D9" s="41"/>
      <c r="E9" s="7"/>
      <c r="F9" s="7"/>
      <c r="G9" s="32">
        <v>0.35416666666666663</v>
      </c>
      <c r="H9" s="32">
        <v>0.83333333333333326</v>
      </c>
      <c r="I9" s="47">
        <v>630</v>
      </c>
      <c r="J9" s="92"/>
      <c r="K9" s="19">
        <f>テーブル2[[#This Row],[勤務時間]]-テーブル2[[#This Row],[控除時間]]</f>
        <v>630</v>
      </c>
      <c r="L9" s="85" t="s">
        <v>59</v>
      </c>
      <c r="M9" s="3">
        <v>42101.357638888891</v>
      </c>
      <c r="N9" s="8">
        <v>42101.830555555556</v>
      </c>
    </row>
    <row r="10" spans="1:14">
      <c r="A10" s="79">
        <f t="shared" si="1"/>
        <v>42102</v>
      </c>
      <c r="B10" s="74">
        <f t="shared" si="0"/>
        <v>4</v>
      </c>
      <c r="C10" s="82" t="str">
        <f>IF(B10=7,"休",IF(B10=1,"休",IF(COUNTIF(祝日!$A$1:$A$16,'4月'!A10)&gt;0,"休","")))</f>
        <v/>
      </c>
      <c r="D10" s="40">
        <v>40</v>
      </c>
      <c r="E10" s="26" t="s">
        <v>16</v>
      </c>
      <c r="F10" s="4"/>
      <c r="G10" s="32">
        <v>0.5</v>
      </c>
      <c r="H10" s="32">
        <v>0.94444444444444442</v>
      </c>
      <c r="I10" s="47">
        <v>640</v>
      </c>
      <c r="J10" s="92"/>
      <c r="K10" s="19">
        <f>テーブル2[[#This Row],[勤務時間]]-テーブル2[[#This Row],[控除時間]]</f>
        <v>640</v>
      </c>
      <c r="L10" s="85" t="s">
        <v>59</v>
      </c>
      <c r="M10" s="6">
        <v>42102.5</v>
      </c>
      <c r="N10" s="9">
        <v>42102.939583333333</v>
      </c>
    </row>
    <row r="11" spans="1:14">
      <c r="A11" s="79">
        <f t="shared" si="1"/>
        <v>42103</v>
      </c>
      <c r="B11" s="74">
        <f t="shared" si="0"/>
        <v>5</v>
      </c>
      <c r="C11" s="82" t="str">
        <f>IF(B11=7,"休",IF(B11=1,"休",IF(COUNTIF(祝日!$A$1:$A$16,'4月'!A11)&gt;0,"休","")))</f>
        <v/>
      </c>
      <c r="D11" s="41"/>
      <c r="E11" s="7"/>
      <c r="F11" s="7"/>
      <c r="G11" s="32">
        <v>0.3611111111111111</v>
      </c>
      <c r="H11" s="32">
        <v>0.89583333333333326</v>
      </c>
      <c r="I11" s="47">
        <v>709.99999999999977</v>
      </c>
      <c r="J11" s="92">
        <v>260</v>
      </c>
      <c r="K11" s="19">
        <f>テーブル2[[#This Row],[勤務時間]]-テーブル2[[#This Row],[控除時間]]</f>
        <v>449.99999999999977</v>
      </c>
      <c r="L11" s="5" t="s">
        <v>59</v>
      </c>
      <c r="M11" s="3">
        <v>42103.365277777775</v>
      </c>
      <c r="N11" s="8">
        <v>42103.895833333336</v>
      </c>
    </row>
    <row r="12" spans="1:14">
      <c r="A12" s="79">
        <f t="shared" si="1"/>
        <v>42104</v>
      </c>
      <c r="B12" s="74">
        <f t="shared" si="0"/>
        <v>6</v>
      </c>
      <c r="C12" s="82" t="str">
        <f>IF(B12=7,"休",IF(B12=1,"休",IF(COUNTIF(祝日!$A$1:$A$16,'4月'!A12)&gt;0,"休","")))</f>
        <v/>
      </c>
      <c r="D12" s="40"/>
      <c r="E12" s="4"/>
      <c r="F12" s="4"/>
      <c r="G12" s="32">
        <v>0.36805555555555552</v>
      </c>
      <c r="H12" s="32">
        <v>0.8125</v>
      </c>
      <c r="I12" s="47">
        <v>580.00000000000011</v>
      </c>
      <c r="J12" s="92"/>
      <c r="K12" s="19">
        <f>テーブル2[[#This Row],[勤務時間]]-テーブル2[[#This Row],[控除時間]]</f>
        <v>580.00000000000011</v>
      </c>
      <c r="L12" s="85" t="s">
        <v>59</v>
      </c>
      <c r="M12" s="6">
        <v>42104.372916666667</v>
      </c>
      <c r="N12" s="9">
        <v>42104.80972222222</v>
      </c>
    </row>
    <row r="13" spans="1:14">
      <c r="A13" s="79">
        <f t="shared" si="1"/>
        <v>42105</v>
      </c>
      <c r="B13" s="74">
        <f t="shared" si="0"/>
        <v>7</v>
      </c>
      <c r="C13" s="82" t="str">
        <f>IF(B13=7,"休",IF(B13=1,"休",IF(COUNTIF(祝日!$A$1:$A$16,'4月'!A13)&gt;0,"休","")))</f>
        <v>休</v>
      </c>
      <c r="D13" s="41"/>
      <c r="E13" s="7"/>
      <c r="F13" s="7"/>
      <c r="G13" s="32"/>
      <c r="H13" s="32"/>
      <c r="I13" s="47"/>
      <c r="J13" s="92"/>
      <c r="K13" s="19"/>
      <c r="L13" s="5"/>
      <c r="M13" s="3"/>
      <c r="N13" s="8"/>
    </row>
    <row r="14" spans="1:14">
      <c r="A14" s="79">
        <f t="shared" si="1"/>
        <v>42106</v>
      </c>
      <c r="B14" s="74">
        <f t="shared" si="0"/>
        <v>1</v>
      </c>
      <c r="C14" s="82" t="str">
        <f>IF(B14=7,"休",IF(B14=1,"休",IF(COUNTIF(祝日!$A$1:$A$16,'4月'!A14)&gt;0,"休","")))</f>
        <v>休</v>
      </c>
      <c r="D14" s="40"/>
      <c r="E14" s="4"/>
      <c r="F14" s="4"/>
      <c r="G14" s="32"/>
      <c r="H14" s="32"/>
      <c r="I14" s="47"/>
      <c r="J14" s="92"/>
      <c r="K14" s="19"/>
      <c r="L14" s="5"/>
      <c r="M14" s="6"/>
      <c r="N14" s="9"/>
    </row>
    <row r="15" spans="1:14">
      <c r="A15" s="79">
        <f t="shared" si="1"/>
        <v>42107</v>
      </c>
      <c r="B15" s="74">
        <f t="shared" si="0"/>
        <v>2</v>
      </c>
      <c r="C15" s="82" t="str">
        <f>IF(B15=7,"休",IF(B15=1,"休",IF(COUNTIF(祝日!$A$1:$A$16,'4月'!A15)&gt;0,"休","")))</f>
        <v/>
      </c>
      <c r="D15" s="41"/>
      <c r="E15" s="7"/>
      <c r="F15" s="7"/>
      <c r="G15" s="32">
        <v>0.30555555555555552</v>
      </c>
      <c r="H15" s="32">
        <v>0.84027777777777768</v>
      </c>
      <c r="I15" s="47">
        <v>709.99999999999977</v>
      </c>
      <c r="J15" s="92">
        <v>260</v>
      </c>
      <c r="K15" s="19">
        <f>テーブル2[[#This Row],[勤務時間]]-テーブル2[[#This Row],[控除時間]]</f>
        <v>449.99999999999977</v>
      </c>
      <c r="L15" s="5" t="s">
        <v>59</v>
      </c>
      <c r="M15" s="3">
        <v>42107.307638888888</v>
      </c>
      <c r="N15" s="8">
        <v>42107.835416666669</v>
      </c>
    </row>
    <row r="16" spans="1:14">
      <c r="A16" s="79">
        <f t="shared" si="1"/>
        <v>42108</v>
      </c>
      <c r="B16" s="74">
        <f t="shared" si="0"/>
        <v>3</v>
      </c>
      <c r="C16" s="82" t="str">
        <f>IF(B16=7,"休",IF(B16=1,"休",IF(COUNTIF(祝日!$A$1:$A$16,'4月'!A16)&gt;0,"休","")))</f>
        <v/>
      </c>
      <c r="D16" s="40">
        <v>30</v>
      </c>
      <c r="E16" s="4"/>
      <c r="F16" s="4"/>
      <c r="G16" s="32">
        <v>0.35416666666666663</v>
      </c>
      <c r="H16" s="32">
        <v>0.9375</v>
      </c>
      <c r="I16" s="47">
        <v>780</v>
      </c>
      <c r="J16" s="92">
        <v>330</v>
      </c>
      <c r="K16" s="19">
        <f>テーブル2[[#This Row],[勤務時間]]-テーブル2[[#This Row],[控除時間]]</f>
        <v>450</v>
      </c>
      <c r="L16" s="5" t="s">
        <v>59</v>
      </c>
      <c r="M16" s="6">
        <v>42108.357638888891</v>
      </c>
      <c r="N16" s="9">
        <v>42108.935416666667</v>
      </c>
    </row>
    <row r="17" spans="1:14">
      <c r="A17" s="79">
        <f t="shared" si="1"/>
        <v>42109</v>
      </c>
      <c r="B17" s="74">
        <f t="shared" si="0"/>
        <v>4</v>
      </c>
      <c r="C17" s="82" t="str">
        <f>IF(B17=7,"休",IF(B17=1,"休",IF(COUNTIF(祝日!$A$1:$A$16,'4月'!A17)&gt;0,"休","")))</f>
        <v/>
      </c>
      <c r="D17" s="41"/>
      <c r="E17" s="7"/>
      <c r="F17" s="7"/>
      <c r="G17" s="32">
        <v>0.3611111111111111</v>
      </c>
      <c r="H17" s="32">
        <v>0.83333333333333326</v>
      </c>
      <c r="I17" s="47">
        <v>619.99999999999989</v>
      </c>
      <c r="J17" s="92"/>
      <c r="K17" s="19">
        <f>テーブル2[[#This Row],[勤務時間]]-テーブル2[[#This Row],[控除時間]]</f>
        <v>619.99999999999989</v>
      </c>
      <c r="L17" s="5" t="s">
        <v>59</v>
      </c>
      <c r="M17" s="3">
        <v>42109.365972222222</v>
      </c>
      <c r="N17" s="8">
        <v>42109.830555555556</v>
      </c>
    </row>
    <row r="18" spans="1:14">
      <c r="A18" s="79">
        <f t="shared" si="1"/>
        <v>42110</v>
      </c>
      <c r="B18" s="74">
        <f t="shared" si="0"/>
        <v>5</v>
      </c>
      <c r="C18" s="82" t="str">
        <f>IF(B18=7,"休",IF(B18=1,"休",IF(COUNTIF(祝日!$A$1:$A$16,'4月'!A18)&gt;0,"休","")))</f>
        <v/>
      </c>
      <c r="D18" s="40"/>
      <c r="E18" s="4"/>
      <c r="F18" s="4"/>
      <c r="G18" s="32">
        <v>0.39583333333333331</v>
      </c>
      <c r="H18" s="32">
        <v>0.89583333333333326</v>
      </c>
      <c r="I18" s="47">
        <v>659.99999999999989</v>
      </c>
      <c r="J18" s="92"/>
      <c r="K18" s="19">
        <f>テーブル2[[#This Row],[勤務時間]]-テーブル2[[#This Row],[控除時間]]</f>
        <v>659.99999999999989</v>
      </c>
      <c r="L18" s="5" t="s">
        <v>59</v>
      </c>
      <c r="M18" s="6">
        <v>42110.395833333336</v>
      </c>
      <c r="N18" s="9">
        <v>42110.895833333336</v>
      </c>
    </row>
    <row r="19" spans="1:14">
      <c r="A19" s="79">
        <f t="shared" si="1"/>
        <v>42111</v>
      </c>
      <c r="B19" s="74">
        <f t="shared" si="0"/>
        <v>6</v>
      </c>
      <c r="C19" s="82" t="str">
        <f>IF(B19=7,"休",IF(B19=1,"休",IF(COUNTIF(祝日!$A$1:$A$16,'4月'!A19)&gt;0,"休","")))</f>
        <v/>
      </c>
      <c r="D19" s="41"/>
      <c r="E19" s="7"/>
      <c r="F19" s="7" t="s">
        <v>19</v>
      </c>
      <c r="G19" s="32">
        <v>0.375</v>
      </c>
      <c r="H19" s="32">
        <v>0.72916666666666663</v>
      </c>
      <c r="I19" s="47">
        <v>450</v>
      </c>
      <c r="J19" s="92"/>
      <c r="K19" s="19">
        <f>テーブル2[[#This Row],[勤務時間]]-テーブル2[[#This Row],[控除時間]]</f>
        <v>450</v>
      </c>
      <c r="L19" s="85" t="s">
        <v>57</v>
      </c>
      <c r="M19" s="3"/>
      <c r="N19" s="8"/>
    </row>
    <row r="20" spans="1:14">
      <c r="A20" s="79">
        <f t="shared" si="1"/>
        <v>42112</v>
      </c>
      <c r="B20" s="74">
        <f t="shared" si="0"/>
        <v>7</v>
      </c>
      <c r="C20" s="82" t="str">
        <f>IF(B20=7,"休",IF(B20=1,"休",IF(COUNTIF(祝日!$A$1:$A$16,'4月'!A20)&gt;0,"休","")))</f>
        <v>休</v>
      </c>
      <c r="D20" s="40"/>
      <c r="E20" s="4"/>
      <c r="F20" s="4"/>
      <c r="G20" s="32"/>
      <c r="H20" s="32"/>
      <c r="I20" s="47"/>
      <c r="J20" s="92"/>
      <c r="K20" s="19"/>
      <c r="L20" s="5"/>
      <c r="M20" s="6"/>
      <c r="N20" s="9"/>
    </row>
    <row r="21" spans="1:14">
      <c r="A21" s="79">
        <f t="shared" si="1"/>
        <v>42113</v>
      </c>
      <c r="B21" s="74">
        <f t="shared" si="0"/>
        <v>1</v>
      </c>
      <c r="C21" s="82" t="str">
        <f>IF(B21=7,"休",IF(B21=1,"休",IF(COUNTIF(祝日!$A$1:$A$16,'4月'!A21)&gt;0,"休","")))</f>
        <v>休</v>
      </c>
      <c r="D21" s="41"/>
      <c r="E21" s="7"/>
      <c r="F21" s="7"/>
      <c r="G21" s="32"/>
      <c r="H21" s="32"/>
      <c r="I21" s="47"/>
      <c r="J21" s="92"/>
      <c r="K21" s="19"/>
      <c r="L21" s="5"/>
      <c r="M21" s="3"/>
      <c r="N21" s="8"/>
    </row>
    <row r="22" spans="1:14">
      <c r="A22" s="79">
        <f t="shared" si="1"/>
        <v>42114</v>
      </c>
      <c r="B22" s="74">
        <f t="shared" si="0"/>
        <v>2</v>
      </c>
      <c r="C22" s="82" t="str">
        <f>IF(B22=7,"休",IF(B22=1,"休",IF(COUNTIF(祝日!$A$1:$A$16,'4月'!A22)&gt;0,"休","")))</f>
        <v/>
      </c>
      <c r="D22" s="40"/>
      <c r="E22" s="4"/>
      <c r="F22" s="4"/>
      <c r="G22" s="32">
        <v>0.30555555555555552</v>
      </c>
      <c r="H22" s="32">
        <v>0.84027777777777768</v>
      </c>
      <c r="I22" s="47">
        <v>709.99999999999977</v>
      </c>
      <c r="J22" s="92">
        <v>220</v>
      </c>
      <c r="K22" s="19">
        <f>テーブル2[[#This Row],[勤務時間]]-テーブル2[[#This Row],[控除時間]]</f>
        <v>489.99999999999977</v>
      </c>
      <c r="L22" s="5" t="s">
        <v>59</v>
      </c>
      <c r="M22" s="6">
        <v>42114.307638888888</v>
      </c>
      <c r="N22" s="9">
        <v>42114.835416666669</v>
      </c>
    </row>
    <row r="23" spans="1:14">
      <c r="A23" s="79">
        <f t="shared" si="1"/>
        <v>42115</v>
      </c>
      <c r="B23" s="74">
        <f t="shared" si="0"/>
        <v>3</v>
      </c>
      <c r="C23" s="82" t="str">
        <f>IF(B23=7,"休",IF(B23=1,"休",IF(COUNTIF(祝日!$A$1:$A$16,'4月'!A23)&gt;0,"休","")))</f>
        <v/>
      </c>
      <c r="D23" s="41"/>
      <c r="E23" s="7"/>
      <c r="F23" s="7"/>
      <c r="G23" s="32">
        <v>0.35416666666666663</v>
      </c>
      <c r="H23" s="32">
        <v>0.83333333333333326</v>
      </c>
      <c r="I23" s="47">
        <v>630</v>
      </c>
      <c r="J23" s="92"/>
      <c r="K23" s="19">
        <f>テーブル2[[#This Row],[勤務時間]]-テーブル2[[#This Row],[控除時間]]</f>
        <v>630</v>
      </c>
      <c r="L23" s="5" t="s">
        <v>58</v>
      </c>
      <c r="M23" s="3">
        <v>42115.357638888891</v>
      </c>
      <c r="N23" s="8">
        <v>42115.830555555556</v>
      </c>
    </row>
    <row r="24" spans="1:14">
      <c r="A24" s="79">
        <f t="shared" si="1"/>
        <v>42116</v>
      </c>
      <c r="B24" s="74">
        <f t="shared" si="0"/>
        <v>4</v>
      </c>
      <c r="C24" s="82" t="str">
        <f>IF(B24=7,"休",IF(B24=1,"休",IF(COUNTIF(祝日!$A$1:$A$16,'4月'!A24)&gt;0,"休","")))</f>
        <v/>
      </c>
      <c r="D24" s="40"/>
      <c r="E24" s="4"/>
      <c r="F24" s="4"/>
      <c r="G24" s="32">
        <v>0.3611111111111111</v>
      </c>
      <c r="H24" s="32">
        <v>0.89583333333333326</v>
      </c>
      <c r="I24" s="47">
        <v>709.99999999999977</v>
      </c>
      <c r="J24" s="92"/>
      <c r="K24" s="19">
        <f>テーブル2[[#This Row],[勤務時間]]-テーブル2[[#This Row],[控除時間]]</f>
        <v>709.99999999999977</v>
      </c>
      <c r="L24" s="5" t="s">
        <v>58</v>
      </c>
      <c r="M24" s="6">
        <v>42116.365972222222</v>
      </c>
      <c r="N24" s="9">
        <v>42116.895833333336</v>
      </c>
    </row>
    <row r="25" spans="1:14">
      <c r="A25" s="79">
        <f t="shared" si="1"/>
        <v>42117</v>
      </c>
      <c r="B25" s="74">
        <f t="shared" si="0"/>
        <v>5</v>
      </c>
      <c r="C25" s="82" t="str">
        <f>IF(B25=7,"休",IF(B25=1,"休",IF(COUNTIF(祝日!$A$1:$A$16,'4月'!A25)&gt;0,"休","")))</f>
        <v/>
      </c>
      <c r="D25" s="41">
        <v>30</v>
      </c>
      <c r="E25" s="26" t="s">
        <v>16</v>
      </c>
      <c r="F25" s="7"/>
      <c r="G25" s="32">
        <v>0.58333333333333326</v>
      </c>
      <c r="H25" s="32">
        <v>0.9375</v>
      </c>
      <c r="I25" s="47">
        <v>510.00000000000011</v>
      </c>
      <c r="J25" s="92"/>
      <c r="K25" s="19">
        <f>テーブル2[[#This Row],[勤務時間]]-テーブル2[[#This Row],[控除時間]]</f>
        <v>510.00000000000011</v>
      </c>
      <c r="L25" s="5" t="s">
        <v>58</v>
      </c>
      <c r="M25" s="3">
        <v>42117.585416666669</v>
      </c>
      <c r="N25" s="8">
        <v>42117.935416666667</v>
      </c>
    </row>
    <row r="26" spans="1:14">
      <c r="A26" s="79">
        <f t="shared" si="1"/>
        <v>42118</v>
      </c>
      <c r="B26" s="74">
        <f t="shared" si="0"/>
        <v>6</v>
      </c>
      <c r="C26" s="82" t="str">
        <f>IF(B26=7,"休",IF(B26=1,"休",IF(COUNTIF(祝日!$A$1:$A$16,'4月'!A26)&gt;0,"休","")))</f>
        <v/>
      </c>
      <c r="D26" s="40"/>
      <c r="E26" s="4"/>
      <c r="F26" s="4"/>
      <c r="G26" s="32">
        <v>0.36805555555555552</v>
      </c>
      <c r="H26" s="32">
        <v>0.8125</v>
      </c>
      <c r="I26" s="47">
        <v>580.00000000000011</v>
      </c>
      <c r="J26" s="92"/>
      <c r="K26" s="19">
        <f>テーブル2[[#This Row],[勤務時間]]-テーブル2[[#This Row],[控除時間]]</f>
        <v>580.00000000000011</v>
      </c>
      <c r="L26" s="5" t="s">
        <v>58</v>
      </c>
      <c r="M26" s="6">
        <v>42118.372916666667</v>
      </c>
      <c r="N26" s="36">
        <v>42118.80972222222</v>
      </c>
    </row>
    <row r="27" spans="1:14">
      <c r="A27" s="79">
        <f t="shared" si="1"/>
        <v>42119</v>
      </c>
      <c r="B27" s="74">
        <f t="shared" si="0"/>
        <v>7</v>
      </c>
      <c r="C27" s="82" t="str">
        <f>IF(B27=7,"休",IF(B27=1,"休",IF(COUNTIF(祝日!$A$1:$A$16,'4月'!A27)&gt;0,"休","")))</f>
        <v>休</v>
      </c>
      <c r="D27" s="41"/>
      <c r="E27" s="7"/>
      <c r="F27" s="7" t="s">
        <v>45</v>
      </c>
      <c r="G27" s="32">
        <v>0.35416666666666663</v>
      </c>
      <c r="H27" s="32">
        <v>0.625</v>
      </c>
      <c r="I27" s="47">
        <v>450</v>
      </c>
      <c r="J27" s="92"/>
      <c r="K27" s="19">
        <f>テーブル2[[#This Row],[勤務時間]]-テーブル2[[#This Row],[控除時間]]</f>
        <v>450</v>
      </c>
      <c r="L27" s="5" t="s">
        <v>60</v>
      </c>
      <c r="M27" s="3">
        <v>0.3576388888888889</v>
      </c>
      <c r="N27" s="36">
        <v>0.625</v>
      </c>
    </row>
    <row r="28" spans="1:14">
      <c r="A28" s="79">
        <f t="shared" si="1"/>
        <v>42120</v>
      </c>
      <c r="B28" s="74">
        <f t="shared" si="0"/>
        <v>1</v>
      </c>
      <c r="C28" s="82" t="str">
        <f>IF(B28=7,"休",IF(B28=1,"休",IF(COUNTIF(祝日!$A$1:$A$16,'4月'!A28)&gt;0,"休","")))</f>
        <v>休</v>
      </c>
      <c r="D28" s="40"/>
      <c r="E28" s="4"/>
      <c r="F28" s="4"/>
      <c r="G28" s="32"/>
      <c r="H28" s="32"/>
      <c r="I28" s="47"/>
      <c r="J28" s="92"/>
      <c r="K28" s="19"/>
      <c r="L28" s="5"/>
      <c r="M28" s="6"/>
      <c r="N28" s="36"/>
    </row>
    <row r="29" spans="1:14">
      <c r="A29" s="79">
        <f t="shared" si="1"/>
        <v>42121</v>
      </c>
      <c r="B29" s="74">
        <f t="shared" si="0"/>
        <v>2</v>
      </c>
      <c r="C29" s="82" t="str">
        <f>IF(B29=7,"休",IF(B29=1,"休",IF(COUNTIF(祝日!$A$1:$A$16,'4月'!A29)&gt;0,"休","")))</f>
        <v/>
      </c>
      <c r="D29" s="41"/>
      <c r="E29" s="7"/>
      <c r="F29" s="7"/>
      <c r="G29" s="32">
        <v>0.30555555555555552</v>
      </c>
      <c r="H29" s="32">
        <v>0.83333333333333326</v>
      </c>
      <c r="I29" s="32">
        <v>699.99999999999989</v>
      </c>
      <c r="J29" s="92"/>
      <c r="K29" s="19">
        <f>テーブル2[[#This Row],[勤務時間]]-テーブル2[[#This Row],[控除時間]]</f>
        <v>699.99999999999989</v>
      </c>
      <c r="L29" s="5" t="s">
        <v>60</v>
      </c>
      <c r="M29" s="3">
        <v>42121.307638888888</v>
      </c>
      <c r="N29" s="8">
        <v>42121.830555555556</v>
      </c>
    </row>
    <row r="30" spans="1:14">
      <c r="A30" s="79">
        <f t="shared" si="1"/>
        <v>42122</v>
      </c>
      <c r="B30" s="74">
        <f t="shared" si="0"/>
        <v>3</v>
      </c>
      <c r="C30" s="82" t="str">
        <f>IF(B30=7,"休",IF(B30=1,"休",IF(COUNTIF(祝日!$A$1:$A$16,'4月'!A30)&gt;0,"休","")))</f>
        <v/>
      </c>
      <c r="D30" s="40">
        <v>30</v>
      </c>
      <c r="E30" s="4"/>
      <c r="F30" s="4"/>
      <c r="G30" s="32">
        <v>0.35416666666666663</v>
      </c>
      <c r="H30" s="32">
        <v>0.9375</v>
      </c>
      <c r="I30" s="47">
        <v>780</v>
      </c>
      <c r="J30" s="92">
        <v>330</v>
      </c>
      <c r="K30" s="19">
        <f>テーブル2[[#This Row],[勤務時間]]-テーブル2[[#This Row],[控除時間]]</f>
        <v>450</v>
      </c>
      <c r="L30" s="5" t="s">
        <v>60</v>
      </c>
      <c r="M30" s="6">
        <v>42122.357638888891</v>
      </c>
      <c r="N30" s="9">
        <v>42122.935416666667</v>
      </c>
    </row>
    <row r="31" spans="1:14">
      <c r="A31" s="79">
        <f t="shared" si="1"/>
        <v>42123</v>
      </c>
      <c r="B31" s="74">
        <f t="shared" si="0"/>
        <v>4</v>
      </c>
      <c r="C31" s="82" t="str">
        <f>IF(B31=7,"休",IF(B31=1,"休",IF(COUNTIF(祝日!$A$1:$A$16,'4月'!A31)&gt;0,"休","")))</f>
        <v>休</v>
      </c>
      <c r="D31" s="41"/>
      <c r="E31" s="7"/>
      <c r="F31" s="7"/>
      <c r="G31" s="32"/>
      <c r="H31" s="32"/>
      <c r="I31" s="47"/>
      <c r="J31" s="92"/>
      <c r="K31" s="19"/>
      <c r="L31" s="5"/>
      <c r="M31" s="3"/>
      <c r="N31" s="8"/>
    </row>
    <row r="32" spans="1:14">
      <c r="A32" s="79">
        <f t="shared" si="1"/>
        <v>42124</v>
      </c>
      <c r="B32" s="74">
        <f t="shared" ref="B32" si="2">WEEKDAY(A32,1)</f>
        <v>5</v>
      </c>
      <c r="C32" s="82" t="str">
        <f>IF(B32=7,"休",IF(B32=1,"休",IF(COUNTIF(祝日!$A$1:$A$16,'4月'!A32)&gt;0,"休","")))</f>
        <v/>
      </c>
      <c r="D32" s="40"/>
      <c r="E32" s="4"/>
      <c r="F32" s="4"/>
      <c r="G32" s="32">
        <v>0.375</v>
      </c>
      <c r="H32" s="32">
        <v>0.72916666666666663</v>
      </c>
      <c r="I32" s="47">
        <v>450</v>
      </c>
      <c r="J32" s="92"/>
      <c r="K32" s="19">
        <f>テーブル2[[#This Row],[勤務時間]]-テーブル2[[#This Row],[控除時間]]</f>
        <v>450</v>
      </c>
      <c r="L32" s="5" t="s">
        <v>52</v>
      </c>
      <c r="M32" s="6">
        <v>42124.377083333333</v>
      </c>
      <c r="N32" s="9">
        <v>42124.727083333331</v>
      </c>
    </row>
    <row r="33" spans="1:25">
      <c r="A33" s="80"/>
      <c r="B33" s="75"/>
      <c r="C33" s="83"/>
      <c r="D33" s="42"/>
      <c r="E33" s="14"/>
      <c r="F33" s="14"/>
      <c r="G33" s="87"/>
      <c r="H33" s="87"/>
      <c r="I33" s="48"/>
      <c r="J33" s="93"/>
      <c r="K33" s="20"/>
      <c r="L33" s="15"/>
      <c r="M33" s="16"/>
      <c r="N33" s="17"/>
    </row>
    <row r="34" spans="1:25">
      <c r="I34" s="21"/>
    </row>
    <row r="35" spans="1:25">
      <c r="C35" s="35" t="s">
        <v>15</v>
      </c>
      <c r="E35" s="25" t="s">
        <v>17</v>
      </c>
      <c r="F35" s="30" t="s">
        <v>19</v>
      </c>
      <c r="G35" s="89" t="s">
        <v>7</v>
      </c>
      <c r="H35" s="90"/>
      <c r="I35" s="45" t="s">
        <v>53</v>
      </c>
      <c r="J35" s="45" t="s">
        <v>54</v>
      </c>
      <c r="K35" s="45" t="s">
        <v>55</v>
      </c>
      <c r="M35" s="94"/>
    </row>
    <row r="36" spans="1:25" ht="14.25" thickBot="1">
      <c r="F36" s="25" t="s">
        <v>45</v>
      </c>
      <c r="G36" s="29">
        <v>0.375</v>
      </c>
      <c r="H36" s="27">
        <v>0.91666666666666663</v>
      </c>
      <c r="I36" s="28">
        <f>SUM(テーブル2[勤務時間])</f>
        <v>13840</v>
      </c>
      <c r="J36" s="28">
        <f>SUM(テーブル2[控除時間])</f>
        <v>1660</v>
      </c>
      <c r="K36" s="28">
        <f>SUM(テーブル2[労働時間])</f>
        <v>12180</v>
      </c>
      <c r="M36" s="94"/>
    </row>
    <row r="37" spans="1:25" ht="14.25" thickBot="1">
      <c r="F37" s="25" t="s">
        <v>20</v>
      </c>
      <c r="J37" s="25" t="s">
        <v>41</v>
      </c>
      <c r="K37" s="49" t="s">
        <v>21</v>
      </c>
      <c r="L37" s="99" t="s">
        <v>26</v>
      </c>
      <c r="M37" s="100" t="s">
        <v>36</v>
      </c>
      <c r="N37" s="101" t="s">
        <v>51</v>
      </c>
      <c r="O37" s="101" t="s">
        <v>62</v>
      </c>
      <c r="P37" s="108" t="s">
        <v>61</v>
      </c>
      <c r="Q37" s="102" t="s">
        <v>35</v>
      </c>
    </row>
    <row r="38" spans="1:25">
      <c r="J38" s="25">
        <f>COUNTA(テーブル2[日付])-COUNTIF(テーブル2[休日],"休")-COUNTIF(テーブル2[休暇],"有給休暇")</f>
        <v>20</v>
      </c>
      <c r="K38" s="50">
        <f>J38*30</f>
        <v>600</v>
      </c>
      <c r="L38" s="57" t="s">
        <v>29</v>
      </c>
      <c r="M38" s="103" t="s">
        <v>37</v>
      </c>
      <c r="N38" s="103"/>
      <c r="O38" s="59">
        <f>SUMIF(テーブル2[プロジェクト],L38,テーブル2[労働時間])</f>
        <v>0</v>
      </c>
      <c r="P38" s="109"/>
      <c r="Q38" s="104"/>
      <c r="V38" s="21"/>
      <c r="W38" s="21"/>
      <c r="X38" s="21"/>
      <c r="Y38" s="21"/>
    </row>
    <row r="39" spans="1:25">
      <c r="I39">
        <f>COUNTA(I3:I32)</f>
        <v>22</v>
      </c>
      <c r="J39" s="25" t="s">
        <v>24</v>
      </c>
      <c r="K39" s="49" t="s">
        <v>22</v>
      </c>
      <c r="L39" s="61" t="s">
        <v>19</v>
      </c>
      <c r="M39" s="69" t="s">
        <v>37</v>
      </c>
      <c r="N39" s="107">
        <f>COUNTIF(テーブル2[休暇],F35)*450</f>
        <v>450</v>
      </c>
      <c r="O39" s="37">
        <f>SUMIF(テーブル2[プロジェクト],L39,テーブル2[労働時間])</f>
        <v>450</v>
      </c>
      <c r="P39" s="50">
        <f>N39-O39</f>
        <v>0</v>
      </c>
      <c r="Q39" s="71"/>
      <c r="V39" s="21"/>
      <c r="W39" s="21"/>
      <c r="X39" s="21"/>
      <c r="Y39" s="21"/>
    </row>
    <row r="40" spans="1:25" ht="14.25" thickBot="1">
      <c r="J40" s="44">
        <v>43</v>
      </c>
      <c r="K40" s="50">
        <f>K36-K38-J38*450</f>
        <v>2580</v>
      </c>
      <c r="L40" s="63" t="s">
        <v>28</v>
      </c>
      <c r="M40" s="105">
        <v>0.15</v>
      </c>
      <c r="N40" s="105">
        <f>ROUND(M40*$K$36,-1)</f>
        <v>1830</v>
      </c>
      <c r="O40" s="64">
        <f>SUMIF(テーブル2[プロジェクト],L40,テーブル2[労働時間])+SUM(O38:O39)</f>
        <v>1809.9999999999998</v>
      </c>
      <c r="P40" s="110">
        <f>N40-O40</f>
        <v>20.000000000000227</v>
      </c>
      <c r="Q40" s="106">
        <f>$N40/$K$36</f>
        <v>0.15024630541871922</v>
      </c>
      <c r="V40" s="21"/>
      <c r="W40" s="21"/>
      <c r="X40" s="21"/>
      <c r="Y40" s="21"/>
    </row>
    <row r="41" spans="1:25">
      <c r="J41" s="25" t="s">
        <v>25</v>
      </c>
      <c r="K41" s="49" t="s">
        <v>23</v>
      </c>
      <c r="L41" s="95" t="s">
        <v>32</v>
      </c>
      <c r="M41" s="96">
        <v>0.5</v>
      </c>
      <c r="N41" s="96">
        <f>K36-N46-N40-SUM(N42:N45)</f>
        <v>6080</v>
      </c>
      <c r="O41" s="97">
        <f>SUMIF(テーブル2[プロジェクト],L41,テーブル2[労働時間])</f>
        <v>5890</v>
      </c>
      <c r="P41" s="111">
        <f t="shared" ref="P41:P47" si="3">N41-O41</f>
        <v>190</v>
      </c>
      <c r="Q41" s="98">
        <f t="shared" ref="Q41:Q45" si="4">$N41/$K$36</f>
        <v>0.49917898193760263</v>
      </c>
      <c r="V41" s="21"/>
      <c r="W41" s="21"/>
      <c r="X41" s="21"/>
      <c r="Y41" s="21"/>
    </row>
    <row r="42" spans="1:25">
      <c r="J42" s="25">
        <f>K40-J40*60</f>
        <v>0</v>
      </c>
      <c r="K42" s="50">
        <f>SUM(テーブル2[C残])</f>
        <v>130</v>
      </c>
      <c r="L42" s="61" t="s">
        <v>48</v>
      </c>
      <c r="M42" s="51">
        <v>0.2</v>
      </c>
      <c r="N42" s="51">
        <f>ROUND(M42*($K$36-$N$46),-1)</f>
        <v>2440</v>
      </c>
      <c r="O42" s="37">
        <f>SUMIF(テーブル2[プロジェクト],L42,テーブル2[労働時間])</f>
        <v>2430</v>
      </c>
      <c r="P42" s="50">
        <f t="shared" si="3"/>
        <v>10</v>
      </c>
      <c r="Q42" s="62">
        <f t="shared" si="4"/>
        <v>0.20032840722495895</v>
      </c>
      <c r="V42" s="21"/>
      <c r="W42" s="21"/>
      <c r="X42" s="21"/>
      <c r="Y42" s="21"/>
    </row>
    <row r="43" spans="1:25">
      <c r="L43" s="61" t="s">
        <v>47</v>
      </c>
      <c r="M43" s="51">
        <v>0.15</v>
      </c>
      <c r="N43" s="51">
        <f>ROUND(M43*($K$36-$N$46),-1)</f>
        <v>1830</v>
      </c>
      <c r="O43" s="37">
        <f>SUMIF(テーブル2[プロジェクト],L43,テーブル2[労働時間])</f>
        <v>1600</v>
      </c>
      <c r="P43" s="50">
        <f t="shared" si="3"/>
        <v>230</v>
      </c>
      <c r="Q43" s="62">
        <f t="shared" si="4"/>
        <v>0.15024630541871922</v>
      </c>
      <c r="V43" s="21"/>
      <c r="W43" s="21"/>
      <c r="X43" s="21"/>
      <c r="Y43" s="21"/>
    </row>
    <row r="44" spans="1:25">
      <c r="L44" s="61" t="s">
        <v>33</v>
      </c>
      <c r="M44" s="51"/>
      <c r="N44" s="51">
        <f>ROUND(M44*($K$36-$N$46),-1)</f>
        <v>0</v>
      </c>
      <c r="O44" s="37">
        <f>SUMIF(テーブル2[プロジェクト],L44,テーブル2[労働時間])</f>
        <v>0</v>
      </c>
      <c r="P44" s="50">
        <f t="shared" si="3"/>
        <v>0</v>
      </c>
      <c r="Q44" s="62">
        <f t="shared" si="4"/>
        <v>0</v>
      </c>
      <c r="V44" s="21"/>
      <c r="W44" s="21"/>
      <c r="X44" s="21"/>
      <c r="Y44" s="21"/>
    </row>
    <row r="45" spans="1:25" ht="14.25" thickBot="1">
      <c r="L45" s="65" t="s">
        <v>34</v>
      </c>
      <c r="M45" s="52"/>
      <c r="N45" s="52">
        <f>ROUND(M45*($K$36-$N$46),-1)</f>
        <v>0</v>
      </c>
      <c r="O45" s="53">
        <f>SUMIF(テーブル2[プロジェクト],L45,テーブル2[労働時間])</f>
        <v>0</v>
      </c>
      <c r="P45" s="112">
        <f t="shared" si="3"/>
        <v>0</v>
      </c>
      <c r="Q45" s="66">
        <f t="shared" si="4"/>
        <v>0</v>
      </c>
      <c r="V45" s="21"/>
      <c r="W45" s="21"/>
      <c r="X45" s="21"/>
      <c r="Y45" s="21"/>
    </row>
    <row r="46" spans="1:25" ht="14.25" thickBot="1">
      <c r="L46" s="57" t="s">
        <v>31</v>
      </c>
      <c r="M46" s="58" t="s">
        <v>56</v>
      </c>
      <c r="N46" s="58">
        <v>0</v>
      </c>
      <c r="O46" s="59">
        <f>SUMIF(テーブル2[プロジェクト],L46,テーブル2[労働時間])</f>
        <v>0</v>
      </c>
      <c r="P46" s="109">
        <f t="shared" si="3"/>
        <v>0</v>
      </c>
      <c r="Q46" s="60">
        <f>$O46/$K$36</f>
        <v>0</v>
      </c>
      <c r="V46" s="21"/>
      <c r="W46" s="21"/>
      <c r="X46" s="21"/>
      <c r="Y46" s="21"/>
    </row>
    <row r="47" spans="1:25" ht="14.25" thickBot="1">
      <c r="L47" s="54" t="s">
        <v>40</v>
      </c>
      <c r="M47" s="68">
        <f>SUM(M40,M41:M45)</f>
        <v>1</v>
      </c>
      <c r="N47" s="68">
        <f>SUM(N40,N41:N45)</f>
        <v>12180</v>
      </c>
      <c r="O47" s="86">
        <f>SUM(O40:O46)</f>
        <v>11730</v>
      </c>
      <c r="P47" s="113">
        <f t="shared" si="3"/>
        <v>450</v>
      </c>
      <c r="Q47" s="67">
        <f>SUM(Q38:Q46)</f>
        <v>1</v>
      </c>
      <c r="V47" s="21"/>
      <c r="W47" s="21"/>
      <c r="X47" s="21"/>
    </row>
    <row r="48" spans="1:25">
      <c r="M48" s="94"/>
    </row>
    <row r="49" spans="13:13">
      <c r="M49" s="94"/>
    </row>
    <row r="50" spans="13:13">
      <c r="M50" s="94"/>
    </row>
    <row r="51" spans="13:13">
      <c r="M51" s="94"/>
    </row>
    <row r="52" spans="13:13">
      <c r="M52" s="94"/>
    </row>
    <row r="53" spans="13:13">
      <c r="M53" s="94"/>
    </row>
    <row r="54" spans="13:13">
      <c r="M54" s="94"/>
    </row>
    <row r="55" spans="13:13">
      <c r="M55" s="94"/>
    </row>
  </sheetData>
  <mergeCells count="3">
    <mergeCell ref="M1:N1"/>
    <mergeCell ref="G35:H35"/>
    <mergeCell ref="D1:L1"/>
  </mergeCells>
  <phoneticPr fontId="1"/>
  <conditionalFormatting sqref="A3:I34 J3:N33">
    <cfRule type="expression" dxfId="15" priority="6">
      <formula>$C3="○"</formula>
    </cfRule>
  </conditionalFormatting>
  <conditionalFormatting sqref="A3:N33">
    <cfRule type="expression" dxfId="14" priority="3">
      <formula>$E3&lt;&gt;""</formula>
    </cfRule>
  </conditionalFormatting>
  <conditionalFormatting sqref="K40">
    <cfRule type="expression" dxfId="25" priority="7">
      <formula>$K$40&gt;$J$40*60</formula>
    </cfRule>
  </conditionalFormatting>
  <conditionalFormatting sqref="L36:N36">
    <cfRule type="expression" dxfId="24" priority="9">
      <formula>$C34="○"</formula>
    </cfRule>
  </conditionalFormatting>
  <dataValidations count="4">
    <dataValidation type="list" allowBlank="1" showInputMessage="1" showErrorMessage="1" sqref="C3:C33">
      <formula1>$C$35</formula1>
    </dataValidation>
    <dataValidation type="whole" operator="greaterThan" allowBlank="1" showInputMessage="1" showErrorMessage="1" sqref="D3:D33">
      <formula1>0</formula1>
    </dataValidation>
    <dataValidation type="list" allowBlank="1" showInputMessage="1" showErrorMessage="1" sqref="E3:E33">
      <formula1>",コアタイム解除"</formula1>
    </dataValidation>
    <dataValidation type="list" allowBlank="1" showInputMessage="1" showErrorMessage="1" sqref="F3:F33">
      <formula1>$F$35:$F$37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Y55"/>
  <sheetViews>
    <sheetView tabSelected="1" workbookViewId="0"/>
  </sheetViews>
  <sheetFormatPr defaultRowHeight="13.5"/>
  <cols>
    <col min="1" max="1" width="8.5" style="76" bestFit="1" customWidth="1"/>
    <col min="2" max="2" width="5.75" style="76" bestFit="1" customWidth="1"/>
    <col min="3" max="3" width="5.75" style="76" hidden="1" customWidth="1"/>
    <col min="4" max="4" width="9.375" style="43" bestFit="1" customWidth="1"/>
    <col min="5" max="5" width="14.625" bestFit="1" customWidth="1"/>
    <col min="6" max="6" width="9" bestFit="1" customWidth="1"/>
    <col min="7" max="8" width="9.75" bestFit="1" customWidth="1"/>
    <col min="9" max="11" width="13" bestFit="1" customWidth="1"/>
    <col min="12" max="12" width="12.375" bestFit="1" customWidth="1"/>
    <col min="13" max="14" width="16.125" style="23" bestFit="1" customWidth="1"/>
    <col min="15" max="15" width="11.125" bestFit="1" customWidth="1"/>
    <col min="16" max="16" width="9.125" bestFit="1" customWidth="1"/>
    <col min="17" max="17" width="7.75" bestFit="1" customWidth="1"/>
  </cols>
  <sheetData>
    <row r="1" spans="1:17">
      <c r="A1" s="77">
        <v>42125</v>
      </c>
      <c r="B1" s="45"/>
      <c r="C1" s="45"/>
      <c r="D1" s="90" t="s">
        <v>14</v>
      </c>
      <c r="E1" s="90"/>
      <c r="F1" s="90"/>
      <c r="G1" s="90"/>
      <c r="H1" s="90"/>
      <c r="I1" s="90"/>
      <c r="J1" s="90"/>
      <c r="K1" s="90"/>
      <c r="L1" s="90"/>
      <c r="M1" s="88" t="s">
        <v>3</v>
      </c>
      <c r="N1" s="88"/>
    </row>
    <row r="2" spans="1:17">
      <c r="A2" s="10" t="s">
        <v>0</v>
      </c>
      <c r="B2" s="11" t="s">
        <v>1</v>
      </c>
      <c r="C2" s="11" t="s">
        <v>2</v>
      </c>
      <c r="D2" s="38" t="s">
        <v>64</v>
      </c>
      <c r="E2" s="12" t="s">
        <v>16</v>
      </c>
      <c r="F2" s="12" t="s">
        <v>30</v>
      </c>
      <c r="G2" s="12" t="s">
        <v>65</v>
      </c>
      <c r="H2" s="12" t="s">
        <v>66</v>
      </c>
      <c r="I2" s="12" t="s">
        <v>11</v>
      </c>
      <c r="J2" s="12" t="s">
        <v>12</v>
      </c>
      <c r="K2" s="12" t="s">
        <v>13</v>
      </c>
      <c r="L2" s="13" t="s">
        <v>6</v>
      </c>
      <c r="M2" s="22" t="s">
        <v>4</v>
      </c>
      <c r="N2" s="24" t="s">
        <v>5</v>
      </c>
    </row>
    <row r="3" spans="1:17">
      <c r="A3" s="78">
        <f>A1</f>
        <v>42125</v>
      </c>
      <c r="B3" s="73">
        <f>WEEKDAY(A3,1)</f>
        <v>6</v>
      </c>
      <c r="C3" s="81" t="str">
        <f>IF(B3=7,"休",IF(B3=1,"休",IF(COUNTIF(祝日!$A$1:$A$16,'5月'!A3)&gt;0,"休","")))</f>
        <v/>
      </c>
      <c r="D3" s="132"/>
      <c r="E3" s="133"/>
      <c r="F3" s="133"/>
      <c r="G3" s="176"/>
      <c r="H3" s="176"/>
      <c r="I3" s="114">
        <v>659.99999999999989</v>
      </c>
      <c r="J3" s="115"/>
      <c r="K3" s="18">
        <f>テーブル24[[#This Row],[勤務時間]]-テーブル24[[#This Row],[控除時間]]</f>
        <v>659.99999999999989</v>
      </c>
      <c r="L3" s="121"/>
      <c r="M3" s="125"/>
      <c r="N3" s="126"/>
      <c r="P3" s="178" t="s">
        <v>69</v>
      </c>
      <c r="Q3" s="178"/>
    </row>
    <row r="4" spans="1:17">
      <c r="A4" s="79">
        <f>A3+1</f>
        <v>42126</v>
      </c>
      <c r="B4" s="74">
        <f t="shared" ref="B4:B33" si="0">WEEKDAY(A4,1)</f>
        <v>7</v>
      </c>
      <c r="C4" s="82" t="str">
        <f>IF(B4=7,"休",IF(B4=1,"休",IF(COUNTIF(祝日!$A$1:$A$16,'5月'!A4)&gt;0,"休","")))</f>
        <v>休</v>
      </c>
      <c r="D4" s="134"/>
      <c r="E4" s="135"/>
      <c r="F4" s="135"/>
      <c r="G4" s="177"/>
      <c r="H4" s="176"/>
      <c r="I4" s="117">
        <v>699.99999999999989</v>
      </c>
      <c r="J4" s="118"/>
      <c r="K4" s="19">
        <f>テーブル24[[#This Row],[勤務時間]]-テーブル24[[#This Row],[控除時間]]</f>
        <v>699.99999999999989</v>
      </c>
      <c r="L4" s="122"/>
      <c r="M4" s="127"/>
      <c r="N4" s="128"/>
      <c r="P4" s="179" t="s">
        <v>67</v>
      </c>
      <c r="Q4" s="179"/>
    </row>
    <row r="5" spans="1:17">
      <c r="A5" s="79">
        <f t="shared" ref="A5:A33" si="1">A4+1</f>
        <v>42127</v>
      </c>
      <c r="B5" s="74">
        <f t="shared" si="0"/>
        <v>1</v>
      </c>
      <c r="C5" s="82" t="str">
        <f>IF(B5=7,"休",IF(B5=1,"休",IF(COUNTIF(祝日!$A$1:$A$16,'5月'!A5)&gt;0,"休","")))</f>
        <v>休</v>
      </c>
      <c r="D5" s="136"/>
      <c r="E5" s="137"/>
      <c r="F5" s="137"/>
      <c r="G5" s="177"/>
      <c r="H5" s="176"/>
      <c r="I5" s="117">
        <v>470</v>
      </c>
      <c r="J5" s="118"/>
      <c r="K5" s="19">
        <f>テーブル24[[#This Row],[勤務時間]]-テーブル24[[#This Row],[控除時間]]</f>
        <v>470</v>
      </c>
      <c r="L5" s="123"/>
      <c r="M5" s="125"/>
      <c r="N5" s="126"/>
      <c r="P5" s="180" t="s">
        <v>68</v>
      </c>
      <c r="Q5" s="180"/>
    </row>
    <row r="6" spans="1:17">
      <c r="A6" s="79">
        <f t="shared" si="1"/>
        <v>42128</v>
      </c>
      <c r="B6" s="74">
        <f t="shared" si="0"/>
        <v>2</v>
      </c>
      <c r="C6" s="82" t="str">
        <f>IF(B6=7,"休",IF(B6=1,"休",IF(COUNTIF(祝日!$A$1:$A$16,'5月'!A6)&gt;0,"休","")))</f>
        <v>休</v>
      </c>
      <c r="D6" s="134"/>
      <c r="E6" s="135"/>
      <c r="F6" s="135"/>
      <c r="G6" s="177"/>
      <c r="H6" s="177"/>
      <c r="I6" s="117"/>
      <c r="J6" s="118"/>
      <c r="K6" s="19"/>
      <c r="L6" s="123"/>
      <c r="M6" s="127"/>
      <c r="N6" s="128"/>
    </row>
    <row r="7" spans="1:17">
      <c r="A7" s="79">
        <f t="shared" si="1"/>
        <v>42129</v>
      </c>
      <c r="B7" s="74">
        <f t="shared" si="0"/>
        <v>3</v>
      </c>
      <c r="C7" s="82" t="str">
        <f>IF(B7=7,"休",IF(B7=1,"休",IF(COUNTIF(祝日!$A$1:$A$16,'5月'!A7)&gt;0,"休","")))</f>
        <v>休</v>
      </c>
      <c r="D7" s="136"/>
      <c r="E7" s="137"/>
      <c r="F7" s="137"/>
      <c r="G7" s="177"/>
      <c r="H7" s="177"/>
      <c r="I7" s="117"/>
      <c r="J7" s="118"/>
      <c r="K7" s="19"/>
      <c r="L7" s="123"/>
      <c r="M7" s="125"/>
      <c r="N7" s="126"/>
    </row>
    <row r="8" spans="1:17">
      <c r="A8" s="79">
        <f t="shared" si="1"/>
        <v>42130</v>
      </c>
      <c r="B8" s="74">
        <f t="shared" si="0"/>
        <v>4</v>
      </c>
      <c r="C8" s="82" t="str">
        <f>IF(B8=7,"休",IF(B8=1,"休",IF(COUNTIF(祝日!$A$1:$A$16,'5月'!A8)&gt;0,"休","")))</f>
        <v/>
      </c>
      <c r="D8" s="134"/>
      <c r="E8" s="135"/>
      <c r="F8" s="135"/>
      <c r="G8" s="177"/>
      <c r="H8" s="177"/>
      <c r="I8" s="117">
        <v>709.99999999999977</v>
      </c>
      <c r="J8" s="118"/>
      <c r="K8" s="19">
        <f>テーブル24[[#This Row],[勤務時間]]-テーブル24[[#This Row],[控除時間]]</f>
        <v>709.99999999999977</v>
      </c>
      <c r="L8" s="122"/>
      <c r="M8" s="127"/>
      <c r="N8" s="128"/>
    </row>
    <row r="9" spans="1:17">
      <c r="A9" s="79">
        <f t="shared" si="1"/>
        <v>42131</v>
      </c>
      <c r="B9" s="74">
        <f t="shared" si="0"/>
        <v>5</v>
      </c>
      <c r="C9" s="82" t="str">
        <f>IF(B9=7,"休",IF(B9=1,"休",IF(COUNTIF(祝日!$A$1:$A$16,'5月'!A9)&gt;0,"休","")))</f>
        <v/>
      </c>
      <c r="D9" s="136"/>
      <c r="E9" s="137"/>
      <c r="F9" s="137"/>
      <c r="G9" s="177"/>
      <c r="H9" s="177"/>
      <c r="I9" s="117">
        <v>630</v>
      </c>
      <c r="J9" s="118"/>
      <c r="K9" s="19">
        <f>テーブル24[[#This Row],[勤務時間]]-テーブル24[[#This Row],[控除時間]]</f>
        <v>630</v>
      </c>
      <c r="L9" s="122"/>
      <c r="M9" s="125"/>
      <c r="N9" s="126"/>
    </row>
    <row r="10" spans="1:17">
      <c r="A10" s="79">
        <f t="shared" si="1"/>
        <v>42132</v>
      </c>
      <c r="B10" s="74">
        <f t="shared" si="0"/>
        <v>6</v>
      </c>
      <c r="C10" s="82" t="str">
        <f>IF(B10=7,"休",IF(B10=1,"休",IF(COUNTIF(祝日!$A$1:$A$16,'5月'!A10)&gt;0,"休","")))</f>
        <v/>
      </c>
      <c r="D10" s="134"/>
      <c r="E10" s="138"/>
      <c r="F10" s="135"/>
      <c r="G10" s="177"/>
      <c r="H10" s="177"/>
      <c r="I10" s="117">
        <v>580</v>
      </c>
      <c r="J10" s="118"/>
      <c r="K10" s="19">
        <f>テーブル24[[#This Row],[勤務時間]]-テーブル24[[#This Row],[控除時間]]</f>
        <v>580</v>
      </c>
      <c r="L10" s="122"/>
      <c r="M10" s="127"/>
      <c r="N10" s="128"/>
    </row>
    <row r="11" spans="1:17">
      <c r="A11" s="79">
        <f t="shared" si="1"/>
        <v>42133</v>
      </c>
      <c r="B11" s="74">
        <f t="shared" si="0"/>
        <v>7</v>
      </c>
      <c r="C11" s="82" t="str">
        <f>IF(B11=7,"休",IF(B11=1,"休",IF(COUNTIF(祝日!$A$1:$A$16,'5月'!A11)&gt;0,"休","")))</f>
        <v>休</v>
      </c>
      <c r="D11" s="136"/>
      <c r="E11" s="137"/>
      <c r="F11" s="137"/>
      <c r="G11" s="177"/>
      <c r="H11" s="177"/>
      <c r="I11" s="117">
        <v>709.99999999999977</v>
      </c>
      <c r="J11" s="118"/>
      <c r="K11" s="19">
        <f>テーブル24[[#This Row],[勤務時間]]-テーブル24[[#This Row],[控除時間]]</f>
        <v>709.99999999999977</v>
      </c>
      <c r="L11" s="123"/>
      <c r="M11" s="125"/>
      <c r="N11" s="126"/>
    </row>
    <row r="12" spans="1:17">
      <c r="A12" s="79">
        <f t="shared" si="1"/>
        <v>42134</v>
      </c>
      <c r="B12" s="74">
        <f t="shared" si="0"/>
        <v>1</v>
      </c>
      <c r="C12" s="82" t="str">
        <f>IF(B12=7,"休",IF(B12=1,"休",IF(COUNTIF(祝日!$A$1:$A$16,'5月'!A12)&gt;0,"休","")))</f>
        <v>休</v>
      </c>
      <c r="D12" s="134"/>
      <c r="E12" s="135"/>
      <c r="F12" s="135"/>
      <c r="G12" s="177"/>
      <c r="H12" s="177"/>
      <c r="I12" s="117">
        <v>580.00000000000011</v>
      </c>
      <c r="J12" s="118"/>
      <c r="K12" s="19">
        <f>テーブル24[[#This Row],[勤務時間]]-テーブル24[[#This Row],[控除時間]]</f>
        <v>580.00000000000011</v>
      </c>
      <c r="L12" s="122"/>
      <c r="M12" s="127"/>
      <c r="N12" s="128"/>
    </row>
    <row r="13" spans="1:17">
      <c r="A13" s="79">
        <f t="shared" si="1"/>
        <v>42135</v>
      </c>
      <c r="B13" s="74">
        <f t="shared" si="0"/>
        <v>2</v>
      </c>
      <c r="C13" s="82" t="str">
        <f>IF(B13=7,"休",IF(B13=1,"休",IF(COUNTIF(祝日!$A$1:$A$16,'5月'!A13)&gt;0,"休","")))</f>
        <v/>
      </c>
      <c r="D13" s="136"/>
      <c r="E13" s="137"/>
      <c r="F13" s="137"/>
      <c r="G13" s="177"/>
      <c r="H13" s="177"/>
      <c r="I13" s="117"/>
      <c r="J13" s="118"/>
      <c r="K13" s="19"/>
      <c r="L13" s="123"/>
      <c r="M13" s="125"/>
      <c r="N13" s="126"/>
    </row>
    <row r="14" spans="1:17">
      <c r="A14" s="79">
        <f t="shared" si="1"/>
        <v>42136</v>
      </c>
      <c r="B14" s="74">
        <f t="shared" si="0"/>
        <v>3</v>
      </c>
      <c r="C14" s="82" t="str">
        <f>IF(B14=7,"休",IF(B14=1,"休",IF(COUNTIF(祝日!$A$1:$A$16,'5月'!A14)&gt;0,"休","")))</f>
        <v/>
      </c>
      <c r="D14" s="134"/>
      <c r="E14" s="135"/>
      <c r="F14" s="135"/>
      <c r="G14" s="177"/>
      <c r="H14" s="177"/>
      <c r="I14" s="117"/>
      <c r="J14" s="118"/>
      <c r="K14" s="19"/>
      <c r="L14" s="123"/>
      <c r="M14" s="127"/>
      <c r="N14" s="128"/>
    </row>
    <row r="15" spans="1:17">
      <c r="A15" s="79">
        <f t="shared" si="1"/>
        <v>42137</v>
      </c>
      <c r="B15" s="74">
        <f t="shared" si="0"/>
        <v>4</v>
      </c>
      <c r="C15" s="82" t="str">
        <f>IF(B15=7,"休",IF(B15=1,"休",IF(COUNTIF(祝日!$A$1:$A$16,'5月'!A15)&gt;0,"休","")))</f>
        <v/>
      </c>
      <c r="D15" s="136"/>
      <c r="E15" s="137"/>
      <c r="F15" s="137"/>
      <c r="G15" s="177"/>
      <c r="H15" s="177"/>
      <c r="I15" s="117">
        <v>709.99999999999977</v>
      </c>
      <c r="J15" s="118"/>
      <c r="K15" s="19">
        <f>テーブル24[[#This Row],[勤務時間]]-テーブル24[[#This Row],[控除時間]]</f>
        <v>709.99999999999977</v>
      </c>
      <c r="L15" s="123"/>
      <c r="M15" s="125"/>
      <c r="N15" s="126"/>
    </row>
    <row r="16" spans="1:17">
      <c r="A16" s="79">
        <f t="shared" si="1"/>
        <v>42138</v>
      </c>
      <c r="B16" s="74">
        <f t="shared" si="0"/>
        <v>5</v>
      </c>
      <c r="C16" s="82" t="str">
        <f>IF(B16=7,"休",IF(B16=1,"休",IF(COUNTIF(祝日!$A$1:$A$16,'5月'!A16)&gt;0,"休","")))</f>
        <v/>
      </c>
      <c r="D16" s="134"/>
      <c r="E16" s="135"/>
      <c r="F16" s="135"/>
      <c r="G16" s="177"/>
      <c r="H16" s="177"/>
      <c r="I16" s="117">
        <v>780</v>
      </c>
      <c r="J16" s="118"/>
      <c r="K16" s="19">
        <f>テーブル24[[#This Row],[勤務時間]]-テーブル24[[#This Row],[控除時間]]</f>
        <v>780</v>
      </c>
      <c r="L16" s="123"/>
      <c r="M16" s="127"/>
      <c r="N16" s="128"/>
    </row>
    <row r="17" spans="1:14">
      <c r="A17" s="79">
        <f t="shared" si="1"/>
        <v>42139</v>
      </c>
      <c r="B17" s="74">
        <f t="shared" si="0"/>
        <v>6</v>
      </c>
      <c r="C17" s="82" t="str">
        <f>IF(B17=7,"休",IF(B17=1,"休",IF(COUNTIF(祝日!$A$1:$A$16,'5月'!A17)&gt;0,"休","")))</f>
        <v/>
      </c>
      <c r="D17" s="136"/>
      <c r="E17" s="137"/>
      <c r="F17" s="137"/>
      <c r="G17" s="177"/>
      <c r="H17" s="177"/>
      <c r="I17" s="117">
        <v>619.99999999999989</v>
      </c>
      <c r="J17" s="118"/>
      <c r="K17" s="19">
        <f>テーブル24[[#This Row],[勤務時間]]-テーブル24[[#This Row],[控除時間]]</f>
        <v>619.99999999999989</v>
      </c>
      <c r="L17" s="123"/>
      <c r="M17" s="125"/>
      <c r="N17" s="126"/>
    </row>
    <row r="18" spans="1:14">
      <c r="A18" s="79">
        <f t="shared" si="1"/>
        <v>42140</v>
      </c>
      <c r="B18" s="74">
        <f t="shared" si="0"/>
        <v>7</v>
      </c>
      <c r="C18" s="82" t="str">
        <f>IF(B18=7,"休",IF(B18=1,"休",IF(COUNTIF(祝日!$A$1:$A$16,'5月'!A18)&gt;0,"休","")))</f>
        <v>休</v>
      </c>
      <c r="D18" s="134"/>
      <c r="E18" s="135"/>
      <c r="F18" s="135"/>
      <c r="G18" s="177"/>
      <c r="H18" s="177"/>
      <c r="I18" s="117">
        <v>659.99999999999989</v>
      </c>
      <c r="J18" s="118"/>
      <c r="K18" s="19">
        <f>テーブル24[[#This Row],[勤務時間]]-テーブル24[[#This Row],[控除時間]]</f>
        <v>659.99999999999989</v>
      </c>
      <c r="L18" s="123"/>
      <c r="M18" s="127"/>
      <c r="N18" s="128"/>
    </row>
    <row r="19" spans="1:14">
      <c r="A19" s="79">
        <f t="shared" si="1"/>
        <v>42141</v>
      </c>
      <c r="B19" s="74">
        <f t="shared" si="0"/>
        <v>1</v>
      </c>
      <c r="C19" s="82" t="str">
        <f>IF(B19=7,"休",IF(B19=1,"休",IF(COUNTIF(祝日!$A$1:$A$16,'5月'!A19)&gt;0,"休","")))</f>
        <v>休</v>
      </c>
      <c r="D19" s="136"/>
      <c r="E19" s="137"/>
      <c r="F19" s="137"/>
      <c r="G19" s="177"/>
      <c r="H19" s="177"/>
      <c r="I19" s="117">
        <v>450</v>
      </c>
      <c r="J19" s="118"/>
      <c r="K19" s="19">
        <f>テーブル24[[#This Row],[勤務時間]]-テーブル24[[#This Row],[控除時間]]</f>
        <v>450</v>
      </c>
      <c r="L19" s="122"/>
      <c r="M19" s="125"/>
      <c r="N19" s="126"/>
    </row>
    <row r="20" spans="1:14">
      <c r="A20" s="79">
        <f t="shared" si="1"/>
        <v>42142</v>
      </c>
      <c r="B20" s="74">
        <f t="shared" si="0"/>
        <v>2</v>
      </c>
      <c r="C20" s="82" t="str">
        <f>IF(B20=7,"休",IF(B20=1,"休",IF(COUNTIF(祝日!$A$1:$A$16,'5月'!A20)&gt;0,"休","")))</f>
        <v/>
      </c>
      <c r="D20" s="134"/>
      <c r="E20" s="135"/>
      <c r="F20" s="135"/>
      <c r="G20" s="177"/>
      <c r="H20" s="177"/>
      <c r="I20" s="117"/>
      <c r="J20" s="118"/>
      <c r="K20" s="19"/>
      <c r="L20" s="123"/>
      <c r="M20" s="127"/>
      <c r="N20" s="128"/>
    </row>
    <row r="21" spans="1:14">
      <c r="A21" s="79">
        <f t="shared" si="1"/>
        <v>42143</v>
      </c>
      <c r="B21" s="74">
        <f t="shared" si="0"/>
        <v>3</v>
      </c>
      <c r="C21" s="82" t="str">
        <f>IF(B21=7,"休",IF(B21=1,"休",IF(COUNTIF(祝日!$A$1:$A$16,'5月'!A21)&gt;0,"休","")))</f>
        <v/>
      </c>
      <c r="D21" s="136"/>
      <c r="E21" s="137"/>
      <c r="F21" s="137"/>
      <c r="G21" s="177"/>
      <c r="H21" s="177"/>
      <c r="I21" s="117"/>
      <c r="J21" s="118"/>
      <c r="K21" s="19"/>
      <c r="L21" s="123"/>
      <c r="M21" s="125"/>
      <c r="N21" s="126"/>
    </row>
    <row r="22" spans="1:14">
      <c r="A22" s="79">
        <f t="shared" si="1"/>
        <v>42144</v>
      </c>
      <c r="B22" s="74">
        <f t="shared" si="0"/>
        <v>4</v>
      </c>
      <c r="C22" s="82" t="str">
        <f>IF(B22=7,"休",IF(B22=1,"休",IF(COUNTIF(祝日!$A$1:$A$16,'5月'!A22)&gt;0,"休","")))</f>
        <v/>
      </c>
      <c r="D22" s="134"/>
      <c r="E22" s="135"/>
      <c r="F22" s="135"/>
      <c r="G22" s="177"/>
      <c r="H22" s="177"/>
      <c r="I22" s="117">
        <v>709.99999999999977</v>
      </c>
      <c r="J22" s="118"/>
      <c r="K22" s="19">
        <f>テーブル24[[#This Row],[勤務時間]]-テーブル24[[#This Row],[控除時間]]</f>
        <v>709.99999999999977</v>
      </c>
      <c r="L22" s="123"/>
      <c r="M22" s="127"/>
      <c r="N22" s="128"/>
    </row>
    <row r="23" spans="1:14">
      <c r="A23" s="79">
        <f t="shared" si="1"/>
        <v>42145</v>
      </c>
      <c r="B23" s="74">
        <f t="shared" si="0"/>
        <v>5</v>
      </c>
      <c r="C23" s="82" t="str">
        <f>IF(B23=7,"休",IF(B23=1,"休",IF(COUNTIF(祝日!$A$1:$A$16,'5月'!A23)&gt;0,"休","")))</f>
        <v/>
      </c>
      <c r="D23" s="136"/>
      <c r="E23" s="137"/>
      <c r="F23" s="137"/>
      <c r="G23" s="177"/>
      <c r="H23" s="177"/>
      <c r="I23" s="117">
        <v>630</v>
      </c>
      <c r="J23" s="118"/>
      <c r="K23" s="19">
        <f>テーブル24[[#This Row],[勤務時間]]-テーブル24[[#This Row],[控除時間]]</f>
        <v>630</v>
      </c>
      <c r="L23" s="123"/>
      <c r="M23" s="125"/>
      <c r="N23" s="126"/>
    </row>
    <row r="24" spans="1:14">
      <c r="A24" s="79">
        <f t="shared" si="1"/>
        <v>42146</v>
      </c>
      <c r="B24" s="74">
        <f t="shared" si="0"/>
        <v>6</v>
      </c>
      <c r="C24" s="82" t="str">
        <f>IF(B24=7,"休",IF(B24=1,"休",IF(COUNTIF(祝日!$A$1:$A$16,'5月'!A24)&gt;0,"休","")))</f>
        <v/>
      </c>
      <c r="D24" s="134"/>
      <c r="E24" s="135"/>
      <c r="F24" s="135"/>
      <c r="G24" s="177"/>
      <c r="H24" s="177"/>
      <c r="I24" s="117">
        <v>709.99999999999977</v>
      </c>
      <c r="J24" s="118"/>
      <c r="K24" s="19">
        <f>テーブル24[[#This Row],[勤務時間]]-テーブル24[[#This Row],[控除時間]]</f>
        <v>709.99999999999977</v>
      </c>
      <c r="L24" s="123"/>
      <c r="M24" s="127"/>
      <c r="N24" s="128"/>
    </row>
    <row r="25" spans="1:14">
      <c r="A25" s="79">
        <f t="shared" si="1"/>
        <v>42147</v>
      </c>
      <c r="B25" s="74">
        <f t="shared" si="0"/>
        <v>7</v>
      </c>
      <c r="C25" s="82" t="str">
        <f>IF(B25=7,"休",IF(B25=1,"休",IF(COUNTIF(祝日!$A$1:$A$16,'5月'!A25)&gt;0,"休","")))</f>
        <v>休</v>
      </c>
      <c r="D25" s="136"/>
      <c r="E25" s="138"/>
      <c r="F25" s="137"/>
      <c r="G25" s="177"/>
      <c r="H25" s="177"/>
      <c r="I25" s="117">
        <v>450.00000000000011</v>
      </c>
      <c r="J25" s="118"/>
      <c r="K25" s="19">
        <f>テーブル24[[#This Row],[勤務時間]]-テーブル24[[#This Row],[控除時間]]</f>
        <v>450.00000000000011</v>
      </c>
      <c r="L25" s="123"/>
      <c r="M25" s="125"/>
      <c r="N25" s="126"/>
    </row>
    <row r="26" spans="1:14">
      <c r="A26" s="79">
        <f t="shared" si="1"/>
        <v>42148</v>
      </c>
      <c r="B26" s="74">
        <f t="shared" si="0"/>
        <v>1</v>
      </c>
      <c r="C26" s="82" t="str">
        <f>IF(B26=7,"休",IF(B26=1,"休",IF(COUNTIF(祝日!$A$1:$A$16,'5月'!A26)&gt;0,"休","")))</f>
        <v>休</v>
      </c>
      <c r="D26" s="134"/>
      <c r="E26" s="135"/>
      <c r="F26" s="135"/>
      <c r="G26" s="177"/>
      <c r="H26" s="177"/>
      <c r="I26" s="117">
        <v>580.00000000000011</v>
      </c>
      <c r="J26" s="118"/>
      <c r="K26" s="19">
        <f>テーブル24[[#This Row],[勤務時間]]-テーブル24[[#This Row],[控除時間]]</f>
        <v>580.00000000000011</v>
      </c>
      <c r="L26" s="123"/>
      <c r="M26" s="127"/>
      <c r="N26" s="129"/>
    </row>
    <row r="27" spans="1:14">
      <c r="A27" s="79">
        <f t="shared" si="1"/>
        <v>42149</v>
      </c>
      <c r="B27" s="74">
        <f t="shared" si="0"/>
        <v>2</v>
      </c>
      <c r="C27" s="82" t="str">
        <f>IF(B27=7,"休",IF(B27=1,"休",IF(COUNTIF(祝日!$A$1:$A$16,'5月'!A27)&gt;0,"休","")))</f>
        <v/>
      </c>
      <c r="D27" s="136"/>
      <c r="E27" s="137"/>
      <c r="F27" s="137"/>
      <c r="G27" s="177"/>
      <c r="H27" s="177"/>
      <c r="I27" s="117">
        <v>450</v>
      </c>
      <c r="J27" s="118"/>
      <c r="K27" s="19">
        <f>テーブル24[[#This Row],[勤務時間]]-テーブル24[[#This Row],[控除時間]]</f>
        <v>450</v>
      </c>
      <c r="L27" s="123"/>
      <c r="M27" s="125"/>
      <c r="N27" s="129"/>
    </row>
    <row r="28" spans="1:14">
      <c r="A28" s="79">
        <f t="shared" si="1"/>
        <v>42150</v>
      </c>
      <c r="B28" s="74">
        <f t="shared" si="0"/>
        <v>3</v>
      </c>
      <c r="C28" s="82" t="str">
        <f>IF(B28=7,"休",IF(B28=1,"休",IF(COUNTIF(祝日!$A$1:$A$16,'5月'!A28)&gt;0,"休","")))</f>
        <v/>
      </c>
      <c r="D28" s="134"/>
      <c r="E28" s="135"/>
      <c r="F28" s="135"/>
      <c r="G28" s="177"/>
      <c r="H28" s="177"/>
      <c r="I28" s="117"/>
      <c r="J28" s="118"/>
      <c r="K28" s="19"/>
      <c r="L28" s="123"/>
      <c r="M28" s="127"/>
      <c r="N28" s="129"/>
    </row>
    <row r="29" spans="1:14">
      <c r="A29" s="79">
        <f t="shared" si="1"/>
        <v>42151</v>
      </c>
      <c r="B29" s="74">
        <f t="shared" si="0"/>
        <v>4</v>
      </c>
      <c r="C29" s="82" t="str">
        <f>IF(B29=7,"休",IF(B29=1,"休",IF(COUNTIF(祝日!$A$1:$A$16,'5月'!A29)&gt;0,"休","")))</f>
        <v/>
      </c>
      <c r="D29" s="136"/>
      <c r="E29" s="137"/>
      <c r="F29" s="137"/>
      <c r="G29" s="177"/>
      <c r="H29" s="177"/>
      <c r="I29" s="116">
        <v>699.99999999999989</v>
      </c>
      <c r="J29" s="118"/>
      <c r="K29" s="19">
        <f>テーブル24[[#This Row],[勤務時間]]-テーブル24[[#This Row],[控除時間]]</f>
        <v>699.99999999999989</v>
      </c>
      <c r="L29" s="123"/>
      <c r="M29" s="125"/>
      <c r="N29" s="126"/>
    </row>
    <row r="30" spans="1:14">
      <c r="A30" s="79">
        <f t="shared" si="1"/>
        <v>42152</v>
      </c>
      <c r="B30" s="74">
        <f t="shared" si="0"/>
        <v>5</v>
      </c>
      <c r="C30" s="82" t="str">
        <f>IF(B30=7,"休",IF(B30=1,"休",IF(COUNTIF(祝日!$A$1:$A$16,'5月'!A30)&gt;0,"休","")))</f>
        <v/>
      </c>
      <c r="D30" s="134"/>
      <c r="E30" s="135"/>
      <c r="F30" s="135"/>
      <c r="G30" s="177"/>
      <c r="H30" s="177"/>
      <c r="I30" s="117">
        <v>780</v>
      </c>
      <c r="J30" s="118"/>
      <c r="K30" s="19">
        <f>テーブル24[[#This Row],[勤務時間]]-テーブル24[[#This Row],[控除時間]]</f>
        <v>780</v>
      </c>
      <c r="L30" s="123"/>
      <c r="M30" s="127"/>
      <c r="N30" s="128"/>
    </row>
    <row r="31" spans="1:14">
      <c r="A31" s="79">
        <f t="shared" si="1"/>
        <v>42153</v>
      </c>
      <c r="B31" s="74">
        <f t="shared" si="0"/>
        <v>6</v>
      </c>
      <c r="C31" s="82" t="str">
        <f>IF(B31=7,"休",IF(B31=1,"休",IF(COUNTIF(祝日!$A$1:$A$16,'5月'!A31)&gt;0,"休","")))</f>
        <v/>
      </c>
      <c r="D31" s="136"/>
      <c r="E31" s="137"/>
      <c r="F31" s="137"/>
      <c r="G31" s="177"/>
      <c r="H31" s="177"/>
      <c r="I31" s="117"/>
      <c r="J31" s="118"/>
      <c r="K31" s="19"/>
      <c r="L31" s="123"/>
      <c r="M31" s="125"/>
      <c r="N31" s="126"/>
    </row>
    <row r="32" spans="1:14">
      <c r="A32" s="79">
        <f t="shared" si="1"/>
        <v>42154</v>
      </c>
      <c r="B32" s="74">
        <f t="shared" si="0"/>
        <v>7</v>
      </c>
      <c r="C32" s="82" t="str">
        <f>IF(B32=7,"休",IF(B32=1,"休",IF(COUNTIF(祝日!$A$1:$A$16,'5月'!A32)&gt;0,"休","")))</f>
        <v>休</v>
      </c>
      <c r="D32" s="134"/>
      <c r="E32" s="135"/>
      <c r="F32" s="135"/>
      <c r="G32" s="177"/>
      <c r="H32" s="177"/>
      <c r="I32" s="117">
        <v>450</v>
      </c>
      <c r="J32" s="118"/>
      <c r="K32" s="19">
        <f>テーブル24[[#This Row],[勤務時間]]-テーブル24[[#This Row],[控除時間]]</f>
        <v>450</v>
      </c>
      <c r="L32" s="123"/>
      <c r="M32" s="127"/>
      <c r="N32" s="128"/>
    </row>
    <row r="33" spans="1:25">
      <c r="A33" s="80">
        <f t="shared" si="1"/>
        <v>42155</v>
      </c>
      <c r="B33" s="74">
        <f t="shared" si="0"/>
        <v>1</v>
      </c>
      <c r="C33" s="83" t="str">
        <f>IF(B33=7,"休",IF(B33=1,"休",IF(COUNTIF(祝日!$A$1:$A$16,'5月'!A33)&gt;0,"休","")))</f>
        <v>休</v>
      </c>
      <c r="D33" s="139"/>
      <c r="E33" s="140"/>
      <c r="F33" s="140"/>
      <c r="G33" s="181"/>
      <c r="H33" s="181"/>
      <c r="I33" s="119"/>
      <c r="J33" s="120"/>
      <c r="K33" s="20"/>
      <c r="L33" s="124"/>
      <c r="M33" s="130"/>
      <c r="N33" s="131"/>
    </row>
    <row r="34" spans="1:25">
      <c r="I34" s="21"/>
    </row>
    <row r="35" spans="1:25">
      <c r="C35" s="45" t="s">
        <v>15</v>
      </c>
      <c r="E35" s="25" t="s">
        <v>16</v>
      </c>
      <c r="F35" s="30" t="s">
        <v>19</v>
      </c>
      <c r="G35" s="89" t="s">
        <v>7</v>
      </c>
      <c r="H35" s="90"/>
      <c r="I35" s="45" t="s">
        <v>53</v>
      </c>
      <c r="J35" s="45" t="s">
        <v>54</v>
      </c>
      <c r="K35" s="45" t="s">
        <v>55</v>
      </c>
      <c r="M35" s="94"/>
    </row>
    <row r="36" spans="1:25" ht="14.25" thickBot="1">
      <c r="F36" s="25" t="s">
        <v>45</v>
      </c>
      <c r="G36" s="148">
        <v>0.375</v>
      </c>
      <c r="H36" s="149">
        <v>0.83333333333333337</v>
      </c>
      <c r="I36" s="28">
        <f>SUM(テーブル24[勤務時間])</f>
        <v>13720</v>
      </c>
      <c r="J36" s="28">
        <f>SUM(テーブル24[控除時間])</f>
        <v>0</v>
      </c>
      <c r="K36" s="28">
        <f>SUM(テーブル24[労働時間])</f>
        <v>13720</v>
      </c>
      <c r="M36" s="94"/>
    </row>
    <row r="37" spans="1:25" ht="14.25" thickBot="1">
      <c r="F37" s="25" t="s">
        <v>20</v>
      </c>
      <c r="J37" s="25" t="s">
        <v>41</v>
      </c>
      <c r="K37" s="49" t="s">
        <v>21</v>
      </c>
      <c r="L37" s="99" t="s">
        <v>26</v>
      </c>
      <c r="M37" s="100" t="s">
        <v>36</v>
      </c>
      <c r="N37" s="101" t="s">
        <v>51</v>
      </c>
      <c r="O37" s="101" t="s">
        <v>63</v>
      </c>
      <c r="P37" s="108" t="s">
        <v>61</v>
      </c>
      <c r="Q37" s="102" t="s">
        <v>35</v>
      </c>
    </row>
    <row r="38" spans="1:25">
      <c r="J38" s="150">
        <f>COUNTA(テーブル24[日付])-COUNTIF(テーブル24[休日],"休")-COUNTIF(テーブル24[休暇],"有給休暇")</f>
        <v>19</v>
      </c>
      <c r="K38" s="146">
        <f>J38*30</f>
        <v>570</v>
      </c>
      <c r="L38" s="57" t="s">
        <v>29</v>
      </c>
      <c r="M38" s="103" t="s">
        <v>37</v>
      </c>
      <c r="N38" s="103"/>
      <c r="O38" s="151">
        <f>SUMIF(テーブル24[プロジェクト],L38,テーブル24[労働時間])</f>
        <v>0</v>
      </c>
      <c r="P38" s="168"/>
      <c r="Q38" s="104"/>
      <c r="V38" s="21"/>
      <c r="W38" s="21"/>
      <c r="X38" s="21"/>
      <c r="Y38" s="21"/>
    </row>
    <row r="39" spans="1:25">
      <c r="I39">
        <f>COUNTA(I3:I32)</f>
        <v>22</v>
      </c>
      <c r="J39" s="25" t="s">
        <v>24</v>
      </c>
      <c r="K39" s="49" t="s">
        <v>22</v>
      </c>
      <c r="L39" s="61" t="s">
        <v>19</v>
      </c>
      <c r="M39" s="69" t="s">
        <v>37</v>
      </c>
      <c r="N39" s="171">
        <f>COUNTIF(テーブル24[休暇],F35)*450</f>
        <v>0</v>
      </c>
      <c r="O39" s="153">
        <f>SUMIF(テーブル24[プロジェクト],L39,テーブル24[労働時間])</f>
        <v>0</v>
      </c>
      <c r="P39" s="147">
        <f>N39-O39</f>
        <v>0</v>
      </c>
      <c r="Q39" s="71"/>
      <c r="V39" s="21"/>
      <c r="W39" s="21"/>
      <c r="X39" s="21"/>
      <c r="Y39" s="21"/>
    </row>
    <row r="40" spans="1:25" ht="14.25" thickBot="1">
      <c r="J40" s="44">
        <v>43</v>
      </c>
      <c r="K40" s="50">
        <f>K36-K38-J38*450</f>
        <v>4600</v>
      </c>
      <c r="L40" s="63" t="s">
        <v>28</v>
      </c>
      <c r="M40" s="141">
        <v>0.15</v>
      </c>
      <c r="N40" s="172">
        <f>ROUND(M40*$K$36,-1)</f>
        <v>2060</v>
      </c>
      <c r="O40" s="154">
        <f>SUMIF(テーブル24[プロジェクト],L40,テーブル24[労働時間])+SUM(O38:O39)</f>
        <v>0</v>
      </c>
      <c r="P40" s="155">
        <f>N40-O40</f>
        <v>2060</v>
      </c>
      <c r="Q40" s="164">
        <f>$N40/$K$36</f>
        <v>0.15014577259475217</v>
      </c>
      <c r="V40" s="21"/>
      <c r="W40" s="21"/>
      <c r="X40" s="21"/>
      <c r="Y40" s="21"/>
    </row>
    <row r="41" spans="1:25">
      <c r="J41" s="25" t="s">
        <v>25</v>
      </c>
      <c r="K41" s="49" t="s">
        <v>23</v>
      </c>
      <c r="L41" s="95" t="s">
        <v>32</v>
      </c>
      <c r="M41" s="142">
        <v>0.5</v>
      </c>
      <c r="N41" s="173">
        <f>K36-N46-N40-SUM(N42:N45)</f>
        <v>6860</v>
      </c>
      <c r="O41" s="156">
        <f>SUMIF(テーブル24[プロジェクト],L41,テーブル24[労働時間])</f>
        <v>0</v>
      </c>
      <c r="P41" s="157">
        <f t="shared" ref="P41:P47" si="2">N41-O41</f>
        <v>6860</v>
      </c>
      <c r="Q41" s="165">
        <f t="shared" ref="Q41:Q45" si="3">$N41/$K$36</f>
        <v>0.5</v>
      </c>
      <c r="V41" s="21"/>
      <c r="W41" s="21"/>
      <c r="X41" s="21"/>
      <c r="Y41" s="21"/>
    </row>
    <row r="42" spans="1:25">
      <c r="J42" s="25">
        <f>K40-J40*60</f>
        <v>2020</v>
      </c>
      <c r="K42" s="50">
        <f>SUM(テーブル24[C残（分）])</f>
        <v>0</v>
      </c>
      <c r="L42" s="61" t="s">
        <v>48</v>
      </c>
      <c r="M42" s="143">
        <v>0.2</v>
      </c>
      <c r="N42" s="171">
        <f>ROUND(M42*($K$36-$N$46),-1)</f>
        <v>2740</v>
      </c>
      <c r="O42" s="153">
        <f>SUMIF(テーブル24[プロジェクト],L42,テーブル24[労働時間])</f>
        <v>0</v>
      </c>
      <c r="P42" s="147">
        <f t="shared" si="2"/>
        <v>2740</v>
      </c>
      <c r="Q42" s="163">
        <f t="shared" si="3"/>
        <v>0.19970845481049562</v>
      </c>
      <c r="V42" s="21"/>
      <c r="W42" s="21"/>
      <c r="X42" s="21"/>
      <c r="Y42" s="21"/>
    </row>
    <row r="43" spans="1:25">
      <c r="L43" s="61" t="s">
        <v>47</v>
      </c>
      <c r="M43" s="143">
        <v>0.15</v>
      </c>
      <c r="N43" s="171">
        <f>ROUND(M43*($K$36-$N$46),-1)</f>
        <v>2060</v>
      </c>
      <c r="O43" s="153">
        <f>SUMIF(テーブル24[プロジェクト],L43,テーブル24[労働時間])</f>
        <v>0</v>
      </c>
      <c r="P43" s="147">
        <f t="shared" si="2"/>
        <v>2060</v>
      </c>
      <c r="Q43" s="163">
        <f t="shared" si="3"/>
        <v>0.15014577259475217</v>
      </c>
      <c r="V43" s="21"/>
      <c r="W43" s="21"/>
      <c r="X43" s="21"/>
      <c r="Y43" s="21"/>
    </row>
    <row r="44" spans="1:25">
      <c r="L44" s="61" t="s">
        <v>33</v>
      </c>
      <c r="M44" s="143"/>
      <c r="N44" s="171">
        <f>ROUND(M44*($K$36-$N$46),-1)</f>
        <v>0</v>
      </c>
      <c r="O44" s="153">
        <f>SUMIF(テーブル24[プロジェクト],L44,テーブル24[労働時間])</f>
        <v>0</v>
      </c>
      <c r="P44" s="147">
        <f t="shared" si="2"/>
        <v>0</v>
      </c>
      <c r="Q44" s="163">
        <f t="shared" si="3"/>
        <v>0</v>
      </c>
      <c r="V44" s="21"/>
      <c r="W44" s="21"/>
      <c r="X44" s="21"/>
      <c r="Y44" s="21"/>
    </row>
    <row r="45" spans="1:25" ht="14.25" thickBot="1">
      <c r="L45" s="65" t="s">
        <v>34</v>
      </c>
      <c r="M45" s="144"/>
      <c r="N45" s="174">
        <f>ROUND(M45*($K$36-$N$46),-1)</f>
        <v>0</v>
      </c>
      <c r="O45" s="158">
        <f>SUMIF(テーブル24[プロジェクト],L45,テーブル24[労働時間])</f>
        <v>0</v>
      </c>
      <c r="P45" s="159">
        <f t="shared" si="2"/>
        <v>0</v>
      </c>
      <c r="Q45" s="166">
        <f t="shared" si="3"/>
        <v>0</v>
      </c>
      <c r="V45" s="21"/>
      <c r="W45" s="21"/>
      <c r="X45" s="21"/>
      <c r="Y45" s="21"/>
    </row>
    <row r="46" spans="1:25" ht="14.25" thickBot="1">
      <c r="L46" s="57" t="s">
        <v>31</v>
      </c>
      <c r="M46" s="145" t="s">
        <v>56</v>
      </c>
      <c r="N46" s="175">
        <v>0</v>
      </c>
      <c r="O46" s="151">
        <f>SUMIF(テーブル24[プロジェクト],L46,テーブル24[労働時間])</f>
        <v>0</v>
      </c>
      <c r="P46" s="152">
        <f t="shared" si="2"/>
        <v>0</v>
      </c>
      <c r="Q46" s="162">
        <f>$O46/$K$36</f>
        <v>0</v>
      </c>
      <c r="V46" s="21"/>
      <c r="W46" s="21"/>
      <c r="X46" s="21"/>
      <c r="Y46" s="21"/>
    </row>
    <row r="47" spans="1:25" ht="14.25" thickBot="1">
      <c r="L47" s="54" t="s">
        <v>18</v>
      </c>
      <c r="M47" s="170">
        <f>SUM(M40,M41:M45)</f>
        <v>1</v>
      </c>
      <c r="N47" s="169">
        <f>SUM(N40,N41:N45)</f>
        <v>13720</v>
      </c>
      <c r="O47" s="160">
        <f>SUM(O40:O46)</f>
        <v>0</v>
      </c>
      <c r="P47" s="161">
        <f t="shared" si="2"/>
        <v>13720</v>
      </c>
      <c r="Q47" s="167">
        <f>SUM(Q38:Q46)</f>
        <v>0.99999999999999989</v>
      </c>
      <c r="V47" s="21"/>
      <c r="W47" s="21"/>
      <c r="X47" s="21"/>
    </row>
    <row r="48" spans="1:25">
      <c r="M48" s="94"/>
    </row>
    <row r="49" spans="13:13">
      <c r="M49" s="94"/>
    </row>
    <row r="50" spans="13:13">
      <c r="M50" s="94"/>
    </row>
    <row r="51" spans="13:13">
      <c r="M51" s="94"/>
    </row>
    <row r="52" spans="13:13">
      <c r="M52" s="94"/>
    </row>
    <row r="53" spans="13:13">
      <c r="M53" s="94"/>
    </row>
    <row r="54" spans="13:13">
      <c r="M54" s="94"/>
    </row>
    <row r="55" spans="13:13">
      <c r="M55" s="94"/>
    </row>
  </sheetData>
  <mergeCells count="6">
    <mergeCell ref="D1:L1"/>
    <mergeCell ref="M1:N1"/>
    <mergeCell ref="G35:H35"/>
    <mergeCell ref="P5:Q5"/>
    <mergeCell ref="P4:Q4"/>
    <mergeCell ref="P3:Q3"/>
  </mergeCells>
  <phoneticPr fontId="1"/>
  <conditionalFormatting sqref="J3:N33 A3:I34">
    <cfRule type="expression" dxfId="1" priority="6">
      <formula>$C3="○"</formula>
    </cfRule>
  </conditionalFormatting>
  <conditionalFormatting sqref="A3:N33">
    <cfRule type="expression" dxfId="0" priority="5">
      <formula>$E3&lt;&gt;""</formula>
    </cfRule>
  </conditionalFormatting>
  <conditionalFormatting sqref="K40">
    <cfRule type="expression" dxfId="23" priority="4">
      <formula>$K$40&gt;$J$40*60</formula>
    </cfRule>
  </conditionalFormatting>
  <conditionalFormatting sqref="L36:N36">
    <cfRule type="expression" dxfId="22" priority="3">
      <formula>$C34="○"</formula>
    </cfRule>
  </conditionalFormatting>
  <conditionalFormatting sqref="A3:A33">
    <cfRule type="expression" dxfId="12" priority="2">
      <formula>$C3="○"</formula>
    </cfRule>
  </conditionalFormatting>
  <conditionalFormatting sqref="A3:A33">
    <cfRule type="expression" dxfId="11" priority="1">
      <formula>$E3&lt;&gt;""</formula>
    </cfRule>
  </conditionalFormatting>
  <dataValidations count="4">
    <dataValidation type="list" allowBlank="1" showInputMessage="1" showErrorMessage="1" sqref="F3:F33">
      <formula1>$F$35:$F$37</formula1>
    </dataValidation>
    <dataValidation type="list" allowBlank="1" showInputMessage="1" showErrorMessage="1" sqref="E3:E33">
      <formula1>",コアタイム解除"</formula1>
    </dataValidation>
    <dataValidation type="whole" operator="greaterThan" allowBlank="1" showInputMessage="1" showErrorMessage="1" sqref="D3:D33">
      <formula1>0</formula1>
    </dataValidation>
    <dataValidation type="list" allowBlank="1" showInputMessage="1" showErrorMessage="1" sqref="C3:C33">
      <formula1>$C$35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16"/>
  <sheetViews>
    <sheetView workbookViewId="0">
      <selection activeCell="E38" sqref="E38"/>
    </sheetView>
  </sheetViews>
  <sheetFormatPr defaultRowHeight="13.5"/>
  <cols>
    <col min="1" max="1" width="15.625" bestFit="1" customWidth="1"/>
  </cols>
  <sheetData>
    <row r="1" spans="1:1">
      <c r="A1" s="1">
        <v>42005</v>
      </c>
    </row>
    <row r="2" spans="1:1">
      <c r="A2" s="1">
        <v>42016</v>
      </c>
    </row>
    <row r="3" spans="1:1">
      <c r="A3" s="1">
        <v>42046</v>
      </c>
    </row>
    <row r="4" spans="1:1">
      <c r="A4" s="1">
        <v>42084</v>
      </c>
    </row>
    <row r="5" spans="1:1">
      <c r="A5" s="1">
        <v>42123</v>
      </c>
    </row>
    <row r="6" spans="1:1">
      <c r="A6" s="1">
        <v>42127</v>
      </c>
    </row>
    <row r="7" spans="1:1">
      <c r="A7" s="1">
        <v>42128</v>
      </c>
    </row>
    <row r="8" spans="1:1">
      <c r="A8" s="1">
        <v>42128</v>
      </c>
    </row>
    <row r="9" spans="1:1">
      <c r="A9" s="1">
        <v>42129</v>
      </c>
    </row>
    <row r="10" spans="1:1">
      <c r="A10" s="1">
        <v>42205</v>
      </c>
    </row>
    <row r="11" spans="1:1">
      <c r="A11" s="1">
        <v>42268</v>
      </c>
    </row>
    <row r="12" spans="1:1">
      <c r="A12" s="1">
        <v>42270</v>
      </c>
    </row>
    <row r="13" spans="1:1">
      <c r="A13" s="1">
        <v>42289</v>
      </c>
    </row>
    <row r="14" spans="1:1">
      <c r="A14" s="1">
        <v>42311</v>
      </c>
    </row>
    <row r="15" spans="1:1">
      <c r="A15" s="1">
        <v>42331</v>
      </c>
    </row>
    <row r="16" spans="1:1">
      <c r="A16" s="1">
        <v>42361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W47"/>
  <sheetViews>
    <sheetView workbookViewId="0">
      <selection activeCell="I33" sqref="I33"/>
    </sheetView>
  </sheetViews>
  <sheetFormatPr defaultRowHeight="13.5"/>
  <cols>
    <col min="1" max="3" width="9.75" style="76" bestFit="1" customWidth="1"/>
    <col min="4" max="4" width="9.125" style="43" bestFit="1" customWidth="1"/>
    <col min="5" max="5" width="14.25" bestFit="1" customWidth="1"/>
    <col min="6" max="6" width="10.25" bestFit="1" customWidth="1"/>
    <col min="7" max="8" width="9" bestFit="1" customWidth="1"/>
    <col min="9" max="9" width="9.75" bestFit="1" customWidth="1"/>
    <col min="10" max="11" width="13.75" bestFit="1" customWidth="1"/>
    <col min="12" max="12" width="15.375" bestFit="1" customWidth="1"/>
    <col min="13" max="13" width="17.25" style="23" bestFit="1" customWidth="1"/>
    <col min="14" max="14" width="18.375" style="23" bestFit="1" customWidth="1"/>
  </cols>
  <sheetData>
    <row r="1" spans="1:14">
      <c r="A1" s="77">
        <v>42095</v>
      </c>
      <c r="B1" s="45"/>
      <c r="C1" s="45"/>
      <c r="D1" s="90" t="s">
        <v>14</v>
      </c>
      <c r="E1" s="90"/>
      <c r="F1" s="90"/>
      <c r="G1" s="90"/>
      <c r="H1" s="90"/>
      <c r="I1" s="90"/>
      <c r="J1" s="90"/>
      <c r="K1" s="90"/>
      <c r="L1" s="90"/>
      <c r="M1" s="88" t="s">
        <v>3</v>
      </c>
      <c r="N1" s="88"/>
    </row>
    <row r="2" spans="1:14">
      <c r="A2" s="10" t="s">
        <v>0</v>
      </c>
      <c r="B2" s="11" t="s">
        <v>1</v>
      </c>
      <c r="C2" s="11" t="s">
        <v>2</v>
      </c>
      <c r="D2" s="38" t="s">
        <v>8</v>
      </c>
      <c r="E2" s="12" t="s">
        <v>39</v>
      </c>
      <c r="F2" s="12" t="s">
        <v>30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3" t="s">
        <v>6</v>
      </c>
      <c r="M2" s="22" t="s">
        <v>4</v>
      </c>
      <c r="N2" s="24" t="s">
        <v>5</v>
      </c>
    </row>
    <row r="3" spans="1:14">
      <c r="A3" s="78">
        <v>42095</v>
      </c>
      <c r="B3" s="73">
        <f>WEEKDAY(A3,1)</f>
        <v>4</v>
      </c>
      <c r="C3" s="81" t="str">
        <f>IF(B3=7,"休",IF(B3=1,"休",IF(COUNTIF(祝日!$A$1:$A$16,アルゴリズム3!A3)&gt;0,"休","")))</f>
        <v/>
      </c>
      <c r="D3" s="39"/>
      <c r="E3" s="2"/>
      <c r="F3" s="2"/>
      <c r="G3" s="31">
        <v>0.34027777777777773</v>
      </c>
      <c r="H3" s="33">
        <v>0.84027777777777768</v>
      </c>
      <c r="I3" s="46">
        <v>659.99999999999989</v>
      </c>
      <c r="J3" s="18">
        <v>180</v>
      </c>
      <c r="K3" s="18">
        <f>テーブル22[[#This Row],[勤務時間]]-テーブル22[[#This Row],[控除時間]]</f>
        <v>479.99999999999989</v>
      </c>
      <c r="L3" s="84" t="s">
        <v>49</v>
      </c>
      <c r="M3" s="3">
        <v>42095.34375</v>
      </c>
      <c r="N3" s="8">
        <v>42095.835416666669</v>
      </c>
    </row>
    <row r="4" spans="1:14">
      <c r="A4" s="79">
        <v>42096</v>
      </c>
      <c r="B4" s="74">
        <f t="shared" ref="B4:B32" si="0">WEEKDAY(A4,1)</f>
        <v>5</v>
      </c>
      <c r="C4" s="82" t="str">
        <f>IF(B4=7,"休",IF(B4=1,"休",IF(COUNTIF(祝日!$A$1:$A$16,アルゴリズム3!A4)&gt;0,"休","")))</f>
        <v/>
      </c>
      <c r="D4" s="40"/>
      <c r="E4" s="4"/>
      <c r="F4" s="4"/>
      <c r="G4" s="32">
        <v>0.30555555555555552</v>
      </c>
      <c r="H4" s="31">
        <v>0.83333333333333326</v>
      </c>
      <c r="I4" s="47">
        <v>699.99999999999989</v>
      </c>
      <c r="J4" s="19">
        <v>90</v>
      </c>
      <c r="K4" s="19">
        <f>テーブル22[[#This Row],[勤務時間]]-テーブル22[[#This Row],[控除時間]]</f>
        <v>609.99999999999989</v>
      </c>
      <c r="L4" s="85" t="s">
        <v>32</v>
      </c>
      <c r="M4" s="6">
        <v>42096.307638888888</v>
      </c>
      <c r="N4" s="9">
        <v>42096.830555555556</v>
      </c>
    </row>
    <row r="5" spans="1:14">
      <c r="A5" s="79">
        <v>42097</v>
      </c>
      <c r="B5" s="74">
        <f t="shared" si="0"/>
        <v>6</v>
      </c>
      <c r="C5" s="82" t="str">
        <f>IF(B5=7,"休",IF(B5=1,"休",IF(COUNTIF(祝日!$A$1:$A$16,アルゴリズム3!A5)&gt;0,"休","")))</f>
        <v/>
      </c>
      <c r="D5" s="41"/>
      <c r="E5" s="7"/>
      <c r="F5" s="7"/>
      <c r="G5" s="32">
        <v>0.38194444444444442</v>
      </c>
      <c r="H5" s="31">
        <v>0.75</v>
      </c>
      <c r="I5" s="47">
        <v>470</v>
      </c>
      <c r="J5" s="19">
        <v>20</v>
      </c>
      <c r="K5" s="19">
        <f>テーブル22[[#This Row],[勤務時間]]-テーブル22[[#This Row],[控除時間]]</f>
        <v>450</v>
      </c>
      <c r="L5" s="5" t="s">
        <v>27</v>
      </c>
      <c r="M5" s="3">
        <v>42097.385416666664</v>
      </c>
      <c r="N5" s="8">
        <v>42097.75</v>
      </c>
    </row>
    <row r="6" spans="1:14">
      <c r="A6" s="79">
        <v>42098</v>
      </c>
      <c r="B6" s="74">
        <f t="shared" si="0"/>
        <v>7</v>
      </c>
      <c r="C6" s="82" t="str">
        <f>IF(B6=7,"休",IF(B6=1,"休",IF(COUNTIF(祝日!$A$1:$A$16,アルゴリズム3!A6)&gt;0,"休","")))</f>
        <v>休</v>
      </c>
      <c r="D6" s="40"/>
      <c r="E6" s="4"/>
      <c r="F6" s="4"/>
      <c r="G6" s="32"/>
      <c r="H6" s="32"/>
      <c r="I6" s="47"/>
      <c r="J6" s="19"/>
      <c r="K6" s="19"/>
      <c r="L6" s="5"/>
      <c r="M6" s="6"/>
      <c r="N6" s="9"/>
    </row>
    <row r="7" spans="1:14">
      <c r="A7" s="79">
        <v>42099</v>
      </c>
      <c r="B7" s="74">
        <f t="shared" si="0"/>
        <v>1</v>
      </c>
      <c r="C7" s="82" t="str">
        <f>IF(B7=7,"休",IF(B7=1,"休",IF(COUNTIF(祝日!$A$1:$A$16,アルゴリズム3!A7)&gt;0,"休","")))</f>
        <v>休</v>
      </c>
      <c r="D7" s="41"/>
      <c r="E7" s="7"/>
      <c r="F7" s="7"/>
      <c r="G7" s="32"/>
      <c r="H7" s="32"/>
      <c r="I7" s="47"/>
      <c r="J7" s="19"/>
      <c r="K7" s="19"/>
      <c r="L7" s="5"/>
      <c r="M7" s="3"/>
      <c r="N7" s="8"/>
    </row>
    <row r="8" spans="1:14">
      <c r="A8" s="79">
        <v>42100</v>
      </c>
      <c r="B8" s="74">
        <f t="shared" si="0"/>
        <v>2</v>
      </c>
      <c r="C8" s="82" t="str">
        <f>IF(B8=7,"休",IF(B8=1,"休",IF(COUNTIF(祝日!$A$1:$A$16,アルゴリズム3!A8)&gt;0,"休","")))</f>
        <v/>
      </c>
      <c r="D8" s="40"/>
      <c r="E8" s="4"/>
      <c r="F8" s="4"/>
      <c r="G8" s="32">
        <v>0.30555555555555552</v>
      </c>
      <c r="H8" s="34">
        <v>0.84027777777777768</v>
      </c>
      <c r="I8" s="47">
        <v>709.99999999999977</v>
      </c>
      <c r="J8" s="19">
        <v>100</v>
      </c>
      <c r="K8" s="19">
        <f>テーブル22[[#This Row],[勤務時間]]-テーブル22[[#This Row],[控除時間]]</f>
        <v>609.99999999999977</v>
      </c>
      <c r="L8" s="85" t="s">
        <v>47</v>
      </c>
      <c r="M8" s="6">
        <v>42100.307638888888</v>
      </c>
      <c r="N8" s="9">
        <v>42100.835416666669</v>
      </c>
    </row>
    <row r="9" spans="1:14">
      <c r="A9" s="79">
        <v>42101</v>
      </c>
      <c r="B9" s="74">
        <f t="shared" si="0"/>
        <v>3</v>
      </c>
      <c r="C9" s="82" t="str">
        <f>IF(B9=7,"休",IF(B9=1,"休",IF(COUNTIF(祝日!$A$1:$A$16,アルゴリズム3!A9)&gt;0,"休","")))</f>
        <v/>
      </c>
      <c r="D9" s="41"/>
      <c r="E9" s="7"/>
      <c r="F9" s="7"/>
      <c r="G9" s="32">
        <v>0.35416666666666663</v>
      </c>
      <c r="H9" s="32">
        <v>0.83333333333333326</v>
      </c>
      <c r="I9" s="47">
        <v>630</v>
      </c>
      <c r="J9" s="19">
        <v>180</v>
      </c>
      <c r="K9" s="19">
        <f>テーブル22[[#This Row],[勤務時間]]-テーブル22[[#This Row],[控除時間]]</f>
        <v>450</v>
      </c>
      <c r="L9" s="85" t="s">
        <v>49</v>
      </c>
      <c r="M9" s="3">
        <v>42101.357638888891</v>
      </c>
      <c r="N9" s="8">
        <v>42101.830555555556</v>
      </c>
    </row>
    <row r="10" spans="1:14">
      <c r="A10" s="79">
        <v>42102</v>
      </c>
      <c r="B10" s="74">
        <f t="shared" si="0"/>
        <v>4</v>
      </c>
      <c r="C10" s="82" t="str">
        <f>IF(B10=7,"休",IF(B10=1,"休",IF(COUNTIF(祝日!$A$1:$A$16,アルゴリズム3!A10)&gt;0,"休","")))</f>
        <v/>
      </c>
      <c r="D10" s="40">
        <v>40</v>
      </c>
      <c r="E10" s="26" t="s">
        <v>16</v>
      </c>
      <c r="F10" s="4"/>
      <c r="G10" s="32">
        <v>0.5</v>
      </c>
      <c r="H10" s="32">
        <v>0.94444444444444442</v>
      </c>
      <c r="I10" s="47">
        <v>640</v>
      </c>
      <c r="J10" s="19">
        <v>80</v>
      </c>
      <c r="K10" s="19">
        <f>テーブル22[[#This Row],[勤務時間]]-テーブル22[[#This Row],[控除時間]]</f>
        <v>560</v>
      </c>
      <c r="L10" s="85" t="s">
        <v>48</v>
      </c>
      <c r="M10" s="6">
        <v>42102.5</v>
      </c>
      <c r="N10" s="9">
        <v>42102.939583333333</v>
      </c>
    </row>
    <row r="11" spans="1:14">
      <c r="A11" s="79">
        <v>42103</v>
      </c>
      <c r="B11" s="74">
        <f t="shared" si="0"/>
        <v>5</v>
      </c>
      <c r="C11" s="82" t="str">
        <f>IF(B11=7,"休",IF(B11=1,"休",IF(COUNTIF(祝日!$A$1:$A$16,アルゴリズム3!A11)&gt;0,"休","")))</f>
        <v/>
      </c>
      <c r="D11" s="41"/>
      <c r="E11" s="7"/>
      <c r="F11" s="7"/>
      <c r="G11" s="32">
        <v>0.3611111111111111</v>
      </c>
      <c r="H11" s="34">
        <v>0.89583333333333326</v>
      </c>
      <c r="I11" s="47">
        <v>709.99999999999977</v>
      </c>
      <c r="J11" s="19">
        <v>80</v>
      </c>
      <c r="K11" s="19">
        <f>テーブル22[[#This Row],[勤務時間]]-テーブル22[[#This Row],[控除時間]]</f>
        <v>629.99999999999977</v>
      </c>
      <c r="L11" s="5" t="s">
        <v>48</v>
      </c>
      <c r="M11" s="3">
        <v>42103.365277777775</v>
      </c>
      <c r="N11" s="8">
        <v>42103.895833333336</v>
      </c>
    </row>
    <row r="12" spans="1:14">
      <c r="A12" s="79">
        <v>42104</v>
      </c>
      <c r="B12" s="74">
        <f t="shared" si="0"/>
        <v>6</v>
      </c>
      <c r="C12" s="82" t="str">
        <f>IF(B12=7,"休",IF(B12=1,"休",IF(COUNTIF(祝日!$A$1:$A$16,アルゴリズム3!A12)&gt;0,"休","")))</f>
        <v/>
      </c>
      <c r="D12" s="40"/>
      <c r="E12" s="4"/>
      <c r="F12" s="4"/>
      <c r="G12" s="32">
        <v>0.36805555555555552</v>
      </c>
      <c r="H12" s="32">
        <v>0.8125</v>
      </c>
      <c r="I12" s="47">
        <v>580.00000000000011</v>
      </c>
      <c r="J12" s="19">
        <v>80</v>
      </c>
      <c r="K12" s="19">
        <f>テーブル22[[#This Row],[勤務時間]]-テーブル22[[#This Row],[控除時間]]</f>
        <v>500.00000000000011</v>
      </c>
      <c r="L12" s="85" t="s">
        <v>48</v>
      </c>
      <c r="M12" s="6">
        <v>42104.372916666667</v>
      </c>
      <c r="N12" s="9">
        <v>42104.80972222222</v>
      </c>
    </row>
    <row r="13" spans="1:14">
      <c r="A13" s="79">
        <v>42105</v>
      </c>
      <c r="B13" s="74">
        <f t="shared" si="0"/>
        <v>7</v>
      </c>
      <c r="C13" s="82" t="str">
        <f>IF(B13=7,"休",IF(B13=1,"休",IF(COUNTIF(祝日!$A$1:$A$16,アルゴリズム3!A13)&gt;0,"休","")))</f>
        <v>休</v>
      </c>
      <c r="D13" s="41"/>
      <c r="E13" s="7"/>
      <c r="F13" s="7"/>
      <c r="G13" s="32"/>
      <c r="H13" s="32"/>
      <c r="I13" s="47"/>
      <c r="J13" s="19"/>
      <c r="K13" s="19"/>
      <c r="L13" s="5"/>
      <c r="M13" s="3"/>
      <c r="N13" s="8"/>
    </row>
    <row r="14" spans="1:14">
      <c r="A14" s="79">
        <v>42106</v>
      </c>
      <c r="B14" s="74">
        <f t="shared" si="0"/>
        <v>1</v>
      </c>
      <c r="C14" s="82" t="str">
        <f>IF(B14=7,"休",IF(B14=1,"休",IF(COUNTIF(祝日!$A$1:$A$16,アルゴリズム3!A14)&gt;0,"休","")))</f>
        <v>休</v>
      </c>
      <c r="D14" s="40"/>
      <c r="E14" s="4"/>
      <c r="F14" s="4"/>
      <c r="G14" s="32"/>
      <c r="H14" s="32"/>
      <c r="I14" s="47"/>
      <c r="J14" s="19"/>
      <c r="K14" s="19"/>
      <c r="L14" s="5"/>
      <c r="M14" s="6"/>
      <c r="N14" s="9"/>
    </row>
    <row r="15" spans="1:14">
      <c r="A15" s="79">
        <v>42107</v>
      </c>
      <c r="B15" s="74">
        <f t="shared" si="0"/>
        <v>2</v>
      </c>
      <c r="C15" s="82" t="str">
        <f>IF(B15=7,"休",IF(B15=1,"休",IF(COUNTIF(祝日!$A$1:$A$16,アルゴリズム3!A15)&gt;0,"休","")))</f>
        <v/>
      </c>
      <c r="D15" s="41"/>
      <c r="E15" s="7"/>
      <c r="F15" s="7"/>
      <c r="G15" s="32">
        <v>0.30555555555555552</v>
      </c>
      <c r="H15" s="34">
        <v>0.84027777777777768</v>
      </c>
      <c r="I15" s="47">
        <v>709.99999999999977</v>
      </c>
      <c r="J15" s="19">
        <v>80</v>
      </c>
      <c r="K15" s="19">
        <f>テーブル22[[#This Row],[勤務時間]]-テーブル22[[#This Row],[控除時間]]</f>
        <v>629.99999999999977</v>
      </c>
      <c r="L15" s="5" t="s">
        <v>48</v>
      </c>
      <c r="M15" s="3">
        <v>42107.307638888888</v>
      </c>
      <c r="N15" s="8">
        <v>42107.835416666669</v>
      </c>
    </row>
    <row r="16" spans="1:14">
      <c r="A16" s="79">
        <v>42108</v>
      </c>
      <c r="B16" s="74">
        <f t="shared" si="0"/>
        <v>3</v>
      </c>
      <c r="C16" s="82" t="str">
        <f>IF(B16=7,"休",IF(B16=1,"休",IF(COUNTIF(祝日!$A$1:$A$16,アルゴリズム3!A16)&gt;0,"休","")))</f>
        <v/>
      </c>
      <c r="D16" s="40">
        <v>30</v>
      </c>
      <c r="E16" s="4"/>
      <c r="F16" s="4"/>
      <c r="G16" s="32">
        <v>0.35416666666666663</v>
      </c>
      <c r="H16" s="32">
        <v>0.9375</v>
      </c>
      <c r="I16" s="47">
        <v>780</v>
      </c>
      <c r="J16" s="19">
        <v>80</v>
      </c>
      <c r="K16" s="19">
        <f>テーブル22[[#This Row],[勤務時間]]-テーブル22[[#This Row],[控除時間]]</f>
        <v>700</v>
      </c>
      <c r="L16" s="5" t="s">
        <v>48</v>
      </c>
      <c r="M16" s="6">
        <v>42108.357638888891</v>
      </c>
      <c r="N16" s="9">
        <v>42108.935416666667</v>
      </c>
    </row>
    <row r="17" spans="1:14">
      <c r="A17" s="79">
        <v>42109</v>
      </c>
      <c r="B17" s="74">
        <f t="shared" si="0"/>
        <v>4</v>
      </c>
      <c r="C17" s="82" t="str">
        <f>IF(B17=7,"休",IF(B17=1,"休",IF(COUNTIF(祝日!$A$1:$A$16,アルゴリズム3!A17)&gt;0,"休","")))</f>
        <v/>
      </c>
      <c r="D17" s="41"/>
      <c r="E17" s="7"/>
      <c r="F17" s="7"/>
      <c r="G17" s="32">
        <v>0.3611111111111111</v>
      </c>
      <c r="H17" s="32">
        <v>0.83333333333333326</v>
      </c>
      <c r="I17" s="47">
        <v>619.99999999999989</v>
      </c>
      <c r="J17" s="19">
        <v>80</v>
      </c>
      <c r="K17" s="19">
        <f>テーブル22[[#This Row],[勤務時間]]-テーブル22[[#This Row],[控除時間]]</f>
        <v>539.99999999999989</v>
      </c>
      <c r="L17" s="5" t="s">
        <v>48</v>
      </c>
      <c r="M17" s="3">
        <v>42109.365972222222</v>
      </c>
      <c r="N17" s="8">
        <v>42109.830555555556</v>
      </c>
    </row>
    <row r="18" spans="1:14">
      <c r="A18" s="79">
        <v>42110</v>
      </c>
      <c r="B18" s="74">
        <f t="shared" si="0"/>
        <v>5</v>
      </c>
      <c r="C18" s="82" t="str">
        <f>IF(B18=7,"休",IF(B18=1,"休",IF(COUNTIF(祝日!$A$1:$A$16,アルゴリズム3!A18)&gt;0,"休","")))</f>
        <v/>
      </c>
      <c r="D18" s="40"/>
      <c r="E18" s="4"/>
      <c r="F18" s="4"/>
      <c r="G18" s="32">
        <v>0.39583333333333331</v>
      </c>
      <c r="H18" s="34">
        <v>0.89583333333333326</v>
      </c>
      <c r="I18" s="47">
        <v>659.99999999999989</v>
      </c>
      <c r="J18" s="19">
        <v>80</v>
      </c>
      <c r="K18" s="19">
        <f>テーブル22[[#This Row],[勤務時間]]-テーブル22[[#This Row],[控除時間]]</f>
        <v>579.99999999999989</v>
      </c>
      <c r="L18" s="5" t="s">
        <v>48</v>
      </c>
      <c r="M18" s="6">
        <v>42110.395833333336</v>
      </c>
      <c r="N18" s="9">
        <v>42110.895833333336</v>
      </c>
    </row>
    <row r="19" spans="1:14">
      <c r="A19" s="79">
        <v>42111</v>
      </c>
      <c r="B19" s="74">
        <f t="shared" si="0"/>
        <v>6</v>
      </c>
      <c r="C19" s="82" t="str">
        <f>IF(B19=7,"休",IF(B19=1,"休",IF(COUNTIF(祝日!$A$1:$A$16,アルゴリズム3!A19)&gt;0,"休","")))</f>
        <v/>
      </c>
      <c r="D19" s="41"/>
      <c r="E19" s="7"/>
      <c r="F19" s="7" t="s">
        <v>19</v>
      </c>
      <c r="G19" s="32">
        <v>0.375</v>
      </c>
      <c r="H19" s="32">
        <v>0.72916666666666663</v>
      </c>
      <c r="I19" s="47">
        <v>450</v>
      </c>
      <c r="J19" s="19"/>
      <c r="K19" s="19">
        <f>テーブル22[[#This Row],[勤務時間]]-テーブル22[[#This Row],[控除時間]]</f>
        <v>450</v>
      </c>
      <c r="L19" s="85" t="s">
        <v>30</v>
      </c>
      <c r="M19" s="3"/>
      <c r="N19" s="8"/>
    </row>
    <row r="20" spans="1:14">
      <c r="A20" s="79">
        <v>42112</v>
      </c>
      <c r="B20" s="74">
        <f t="shared" si="0"/>
        <v>7</v>
      </c>
      <c r="C20" s="82" t="str">
        <f>IF(B20=7,"休",IF(B20=1,"休",IF(COUNTIF(祝日!$A$1:$A$16,アルゴリズム3!A20)&gt;0,"休","")))</f>
        <v>休</v>
      </c>
      <c r="D20" s="40"/>
      <c r="E20" s="4"/>
      <c r="F20" s="4"/>
      <c r="G20" s="32"/>
      <c r="H20" s="32"/>
      <c r="I20" s="47"/>
      <c r="J20" s="19"/>
      <c r="K20" s="19"/>
      <c r="L20" s="5"/>
      <c r="M20" s="6"/>
      <c r="N20" s="9"/>
    </row>
    <row r="21" spans="1:14">
      <c r="A21" s="79">
        <v>42113</v>
      </c>
      <c r="B21" s="74">
        <f t="shared" si="0"/>
        <v>1</v>
      </c>
      <c r="C21" s="82" t="str">
        <f>IF(B21=7,"休",IF(B21=1,"休",IF(COUNTIF(祝日!$A$1:$A$16,アルゴリズム3!A21)&gt;0,"休","")))</f>
        <v>休</v>
      </c>
      <c r="D21" s="41"/>
      <c r="E21" s="7"/>
      <c r="F21" s="7"/>
      <c r="G21" s="32"/>
      <c r="H21" s="32"/>
      <c r="I21" s="47"/>
      <c r="J21" s="19"/>
      <c r="K21" s="19"/>
      <c r="L21" s="5"/>
      <c r="M21" s="3"/>
      <c r="N21" s="8"/>
    </row>
    <row r="22" spans="1:14">
      <c r="A22" s="79">
        <v>42114</v>
      </c>
      <c r="B22" s="74">
        <f t="shared" si="0"/>
        <v>2</v>
      </c>
      <c r="C22" s="82" t="str">
        <f>IF(B22=7,"休",IF(B22=1,"休",IF(COUNTIF(祝日!$A$1:$A$16,アルゴリズム3!A22)&gt;0,"休","")))</f>
        <v/>
      </c>
      <c r="D22" s="40"/>
      <c r="E22" s="4"/>
      <c r="F22" s="4"/>
      <c r="G22" s="32">
        <v>0.30555555555555552</v>
      </c>
      <c r="H22" s="34">
        <v>0.84027777777777768</v>
      </c>
      <c r="I22" s="47">
        <v>709.99999999999977</v>
      </c>
      <c r="J22" s="19">
        <v>80</v>
      </c>
      <c r="K22" s="19">
        <f>テーブル22[[#This Row],[勤務時間]]-テーブル22[[#This Row],[控除時間]]</f>
        <v>629.99999999999977</v>
      </c>
      <c r="L22" s="5" t="s">
        <v>48</v>
      </c>
      <c r="M22" s="6">
        <v>42114.307638888888</v>
      </c>
      <c r="N22" s="9">
        <v>42114.835416666669</v>
      </c>
    </row>
    <row r="23" spans="1:14">
      <c r="A23" s="79">
        <v>42115</v>
      </c>
      <c r="B23" s="74">
        <f t="shared" si="0"/>
        <v>3</v>
      </c>
      <c r="C23" s="82" t="str">
        <f>IF(B23=7,"休",IF(B23=1,"休",IF(COUNTIF(祝日!$A$1:$A$16,アルゴリズム3!A23)&gt;0,"休","")))</f>
        <v/>
      </c>
      <c r="D23" s="41"/>
      <c r="E23" s="7"/>
      <c r="F23" s="7"/>
      <c r="G23" s="32">
        <v>0.35416666666666663</v>
      </c>
      <c r="H23" s="32">
        <v>0.83333333333333326</v>
      </c>
      <c r="I23" s="47">
        <v>630</v>
      </c>
      <c r="J23" s="19">
        <v>80</v>
      </c>
      <c r="K23" s="19">
        <f>テーブル22[[#This Row],[勤務時間]]-テーブル22[[#This Row],[控除時間]]</f>
        <v>550</v>
      </c>
      <c r="L23" s="5" t="s">
        <v>48</v>
      </c>
      <c r="M23" s="3">
        <v>42115.357638888891</v>
      </c>
      <c r="N23" s="8">
        <v>42115.830555555556</v>
      </c>
    </row>
    <row r="24" spans="1:14">
      <c r="A24" s="79">
        <v>42116</v>
      </c>
      <c r="B24" s="74">
        <f t="shared" si="0"/>
        <v>4</v>
      </c>
      <c r="C24" s="82" t="str">
        <f>IF(B24=7,"休",IF(B24=1,"休",IF(COUNTIF(祝日!$A$1:$A$16,アルゴリズム3!A24)&gt;0,"休","")))</f>
        <v/>
      </c>
      <c r="D24" s="40"/>
      <c r="E24" s="4"/>
      <c r="F24" s="4"/>
      <c r="G24" s="32">
        <v>0.3611111111111111</v>
      </c>
      <c r="H24" s="34">
        <v>0.89583333333333326</v>
      </c>
      <c r="I24" s="47">
        <v>709.99999999999977</v>
      </c>
      <c r="J24" s="19">
        <v>80</v>
      </c>
      <c r="K24" s="19">
        <f>テーブル22[[#This Row],[勤務時間]]-テーブル22[[#This Row],[控除時間]]</f>
        <v>629.99999999999977</v>
      </c>
      <c r="L24" s="5" t="s">
        <v>48</v>
      </c>
      <c r="M24" s="6">
        <v>42116.365972222222</v>
      </c>
      <c r="N24" s="9">
        <v>42116.895833333336</v>
      </c>
    </row>
    <row r="25" spans="1:14">
      <c r="A25" s="79">
        <v>42117</v>
      </c>
      <c r="B25" s="74">
        <f t="shared" si="0"/>
        <v>5</v>
      </c>
      <c r="C25" s="82" t="str">
        <f>IF(B25=7,"休",IF(B25=1,"休",IF(COUNTIF(祝日!$A$1:$A$16,アルゴリズム3!A25)&gt;0,"休","")))</f>
        <v/>
      </c>
      <c r="D25" s="41">
        <v>30</v>
      </c>
      <c r="E25" s="26" t="s">
        <v>16</v>
      </c>
      <c r="F25" s="7"/>
      <c r="G25" s="32">
        <v>0.58333333333333326</v>
      </c>
      <c r="H25" s="32">
        <v>0.9375</v>
      </c>
      <c r="I25" s="47">
        <v>510.00000000000011</v>
      </c>
      <c r="J25" s="19">
        <v>70</v>
      </c>
      <c r="K25" s="19">
        <f>テーブル22[[#This Row],[勤務時間]]-テーブル22[[#This Row],[控除時間]]</f>
        <v>440.00000000000011</v>
      </c>
      <c r="L25" s="5" t="s">
        <v>48</v>
      </c>
      <c r="M25" s="3">
        <v>42117.585416666669</v>
      </c>
      <c r="N25" s="8">
        <v>42117.935416666667</v>
      </c>
    </row>
    <row r="26" spans="1:14">
      <c r="A26" s="79">
        <v>42118</v>
      </c>
      <c r="B26" s="74">
        <f t="shared" si="0"/>
        <v>6</v>
      </c>
      <c r="C26" s="82" t="str">
        <f>IF(B26=7,"休",IF(B26=1,"休",IF(COUNTIF(祝日!$A$1:$A$16,アルゴリズム3!A26)&gt;0,"休","")))</f>
        <v/>
      </c>
      <c r="D26" s="40"/>
      <c r="E26" s="4"/>
      <c r="F26" s="4"/>
      <c r="G26" s="32">
        <v>0.36805555555555552</v>
      </c>
      <c r="H26" s="32">
        <v>0.8125</v>
      </c>
      <c r="I26" s="47">
        <v>580.00000000000011</v>
      </c>
      <c r="J26" s="19">
        <v>70</v>
      </c>
      <c r="K26" s="19">
        <f>テーブル22[[#This Row],[勤務時間]]-テーブル22[[#This Row],[控除時間]]</f>
        <v>510.00000000000011</v>
      </c>
      <c r="L26" s="5" t="s">
        <v>48</v>
      </c>
      <c r="M26" s="6">
        <v>42118.372916666667</v>
      </c>
      <c r="N26" s="36">
        <v>42118.80972222222</v>
      </c>
    </row>
    <row r="27" spans="1:14">
      <c r="A27" s="79">
        <v>42119</v>
      </c>
      <c r="B27" s="74">
        <f t="shared" si="0"/>
        <v>7</v>
      </c>
      <c r="C27" s="82" t="str">
        <f>IF(B27=7,"休",IF(B27=1,"休",IF(COUNTIF(祝日!$A$1:$A$16,アルゴリズム3!A27)&gt;0,"休","")))</f>
        <v>休</v>
      </c>
      <c r="D27" s="41"/>
      <c r="E27" s="7"/>
      <c r="F27" s="7" t="s">
        <v>45</v>
      </c>
      <c r="G27" s="32">
        <v>0.35416666666666663</v>
      </c>
      <c r="H27" s="32">
        <v>0.625</v>
      </c>
      <c r="I27" s="47">
        <v>450</v>
      </c>
      <c r="J27" s="19">
        <v>0</v>
      </c>
      <c r="K27" s="19">
        <f>テーブル22[[#This Row],[勤務時間]]-テーブル22[[#This Row],[控除時間]]</f>
        <v>450</v>
      </c>
      <c r="L27" s="5" t="s">
        <v>48</v>
      </c>
      <c r="M27" s="3">
        <v>0.3576388888888889</v>
      </c>
      <c r="N27" s="36">
        <v>0.625</v>
      </c>
    </row>
    <row r="28" spans="1:14">
      <c r="A28" s="79">
        <v>42120</v>
      </c>
      <c r="B28" s="74">
        <f t="shared" si="0"/>
        <v>1</v>
      </c>
      <c r="C28" s="82" t="str">
        <f>IF(B28=7,"休",IF(B28=1,"休",IF(COUNTIF(祝日!$A$1:$A$16,アルゴリズム3!A28)&gt;0,"休","")))</f>
        <v>休</v>
      </c>
      <c r="D28" s="40"/>
      <c r="E28" s="4"/>
      <c r="F28" s="4"/>
      <c r="G28" s="32"/>
      <c r="H28" s="32"/>
      <c r="I28" s="47"/>
      <c r="J28" s="19"/>
      <c r="K28" s="19"/>
      <c r="L28" s="5"/>
      <c r="M28" s="6"/>
      <c r="N28" s="36"/>
    </row>
    <row r="29" spans="1:14">
      <c r="A29" s="79">
        <v>42121</v>
      </c>
      <c r="B29" s="74">
        <f t="shared" si="0"/>
        <v>2</v>
      </c>
      <c r="C29" s="82" t="str">
        <f>IF(B29=7,"休",IF(B29=1,"休",IF(COUNTIF(祝日!$A$1:$A$16,アルゴリズム3!A29)&gt;0,"休","")))</f>
        <v/>
      </c>
      <c r="D29" s="41"/>
      <c r="E29" s="7"/>
      <c r="F29" s="7"/>
      <c r="G29" s="32">
        <v>0.30555555555555552</v>
      </c>
      <c r="H29" s="32">
        <v>0.83333333333333326</v>
      </c>
      <c r="I29" s="47">
        <v>699.99999999999989</v>
      </c>
      <c r="J29" s="19">
        <v>70</v>
      </c>
      <c r="K29" s="19">
        <f>テーブル22[[#This Row],[勤務時間]]-テーブル22[[#This Row],[控除時間]]</f>
        <v>629.99999999999989</v>
      </c>
      <c r="L29" s="5" t="s">
        <v>48</v>
      </c>
      <c r="M29" s="3">
        <v>42121.307638888888</v>
      </c>
      <c r="N29" s="8">
        <v>42121.830555555556</v>
      </c>
    </row>
    <row r="30" spans="1:14">
      <c r="A30" s="79">
        <v>42122</v>
      </c>
      <c r="B30" s="74">
        <f t="shared" si="0"/>
        <v>3</v>
      </c>
      <c r="C30" s="82" t="str">
        <f>IF(B30=7,"休",IF(B30=1,"休",IF(COUNTIF(祝日!$A$1:$A$16,アルゴリズム3!A30)&gt;0,"休","")))</f>
        <v/>
      </c>
      <c r="D30" s="40">
        <v>30</v>
      </c>
      <c r="E30" s="4"/>
      <c r="F30" s="4"/>
      <c r="G30" s="32">
        <v>0.35416666666666663</v>
      </c>
      <c r="H30" s="32">
        <v>0.9375</v>
      </c>
      <c r="I30" s="47">
        <v>780</v>
      </c>
      <c r="J30" s="19">
        <v>70</v>
      </c>
      <c r="K30" s="19">
        <f>テーブル22[[#This Row],[勤務時間]]-テーブル22[[#This Row],[控除時間]]</f>
        <v>710</v>
      </c>
      <c r="L30" s="5" t="s">
        <v>48</v>
      </c>
      <c r="M30" s="6">
        <v>42122.357638888891</v>
      </c>
      <c r="N30" s="9">
        <v>42122.935416666667</v>
      </c>
    </row>
    <row r="31" spans="1:14">
      <c r="A31" s="79">
        <v>42123</v>
      </c>
      <c r="B31" s="74">
        <f t="shared" si="0"/>
        <v>4</v>
      </c>
      <c r="C31" s="82" t="str">
        <f>IF(B31=7,"休",IF(B31=1,"休",IF(COUNTIF(祝日!$A$1:$A$16,アルゴリズム3!A31)&gt;0,"休","")))</f>
        <v>休</v>
      </c>
      <c r="D31" s="41"/>
      <c r="E31" s="7"/>
      <c r="F31" s="7"/>
      <c r="G31" s="32"/>
      <c r="H31" s="32"/>
      <c r="I31" s="47"/>
      <c r="J31" s="19"/>
      <c r="K31" s="19"/>
      <c r="L31" s="5"/>
      <c r="M31" s="3"/>
      <c r="N31" s="8"/>
    </row>
    <row r="32" spans="1:14">
      <c r="A32" s="79">
        <v>42124</v>
      </c>
      <c r="B32" s="74">
        <f t="shared" si="0"/>
        <v>5</v>
      </c>
      <c r="C32" s="82" t="str">
        <f>IF(B32=7,"休",IF(B32=1,"休",IF(COUNTIF(祝日!$A$1:$A$16,アルゴリズム3!A32)&gt;0,"休","")))</f>
        <v/>
      </c>
      <c r="D32" s="40"/>
      <c r="E32" s="4"/>
      <c r="F32" s="4"/>
      <c r="G32" s="32">
        <v>0.375</v>
      </c>
      <c r="H32" s="32">
        <v>0.72916666666666663</v>
      </c>
      <c r="I32" s="47">
        <v>450</v>
      </c>
      <c r="J32" s="19">
        <v>0</v>
      </c>
      <c r="K32" s="19">
        <f>テーブル22[[#This Row],[勤務時間]]-テーブル22[[#This Row],[控除時間]]</f>
        <v>450</v>
      </c>
      <c r="L32" s="5" t="s">
        <v>48</v>
      </c>
      <c r="M32" s="6">
        <v>42124.377083333333</v>
      </c>
      <c r="N32" s="9">
        <v>42124.727083333331</v>
      </c>
    </row>
    <row r="33" spans="1:23">
      <c r="A33" s="80"/>
      <c r="B33" s="75"/>
      <c r="C33" s="83"/>
      <c r="D33" s="42"/>
      <c r="E33" s="14"/>
      <c r="F33" s="14"/>
      <c r="G33" s="87"/>
      <c r="H33" s="87"/>
      <c r="I33" s="48"/>
      <c r="J33" s="20"/>
      <c r="K33" s="20"/>
      <c r="L33" s="15"/>
      <c r="M33" s="16"/>
      <c r="N33" s="17"/>
    </row>
    <row r="34" spans="1:23">
      <c r="I34" s="21"/>
    </row>
    <row r="35" spans="1:23">
      <c r="C35" s="45" t="s">
        <v>15</v>
      </c>
      <c r="E35" s="25" t="s">
        <v>16</v>
      </c>
      <c r="F35" s="30" t="s">
        <v>19</v>
      </c>
      <c r="G35" s="89" t="s">
        <v>7</v>
      </c>
      <c r="H35" s="90"/>
      <c r="I35" s="45" t="s">
        <v>18</v>
      </c>
      <c r="J35" s="45" t="s">
        <v>18</v>
      </c>
      <c r="K35" s="45" t="s">
        <v>18</v>
      </c>
    </row>
    <row r="36" spans="1:23" ht="14.25" thickBot="1">
      <c r="F36" s="25" t="s">
        <v>45</v>
      </c>
      <c r="G36" s="29">
        <v>0.375</v>
      </c>
      <c r="H36" s="27">
        <v>0.83333333333333337</v>
      </c>
      <c r="I36" s="28">
        <f>SUM(テーブル22[勤務時間])</f>
        <v>13840</v>
      </c>
      <c r="J36" s="28">
        <f>SUM(テーブル22[控除時間])</f>
        <v>1650</v>
      </c>
      <c r="K36" s="28">
        <f>SUM(テーブル22[労働時間])</f>
        <v>12190</v>
      </c>
      <c r="R36" t="s">
        <v>44</v>
      </c>
    </row>
    <row r="37" spans="1:23" ht="14.25" thickBot="1">
      <c r="F37" s="25" t="s">
        <v>20</v>
      </c>
      <c r="J37" s="25" t="s">
        <v>41</v>
      </c>
      <c r="K37" s="49" t="s">
        <v>21</v>
      </c>
      <c r="L37" s="54" t="s">
        <v>26</v>
      </c>
      <c r="M37" s="55" t="s">
        <v>36</v>
      </c>
      <c r="N37" s="55" t="s">
        <v>38</v>
      </c>
      <c r="O37" s="56" t="s">
        <v>35</v>
      </c>
      <c r="S37" t="s">
        <v>43</v>
      </c>
      <c r="T37" t="s">
        <v>42</v>
      </c>
      <c r="U37" t="s">
        <v>46</v>
      </c>
      <c r="V37" t="s">
        <v>50</v>
      </c>
      <c r="W37" t="s">
        <v>46</v>
      </c>
    </row>
    <row r="38" spans="1:23">
      <c r="J38" s="25">
        <f>COUNTA(テーブル22[日付])-COUNTIF(テーブル22[休日],"休")-COUNTIF(テーブル22[休暇],"有給休暇")</f>
        <v>20</v>
      </c>
      <c r="K38" s="50">
        <f>J38*8*60</f>
        <v>9600</v>
      </c>
      <c r="L38" s="57" t="s">
        <v>28</v>
      </c>
      <c r="M38" s="58">
        <v>0.15</v>
      </c>
      <c r="N38" s="59">
        <f>SUMIF(テーブル22[プロジェクト],L38,テーブル22[労働時間])</f>
        <v>1380</v>
      </c>
      <c r="O38" s="60">
        <f>SUM($N$38:$N$40)/$K$36</f>
        <v>0.15012305168170631</v>
      </c>
      <c r="P38">
        <f>ROUND(($K$38+$J$40*60)*M38,-1)</f>
        <v>1830</v>
      </c>
      <c r="Q38">
        <f>($J$38+2)*$M38</f>
        <v>3.3</v>
      </c>
      <c r="R38">
        <f>ROUND(Q38,0)</f>
        <v>3</v>
      </c>
      <c r="S38">
        <f>450*R38</f>
        <v>1350</v>
      </c>
      <c r="T38" s="21">
        <f>SUMIF(テーブル22[プロジェクト],L38,テーブル22[勤務時間])+T40</f>
        <v>2210</v>
      </c>
      <c r="U38" s="21">
        <f>T38-P38</f>
        <v>380</v>
      </c>
      <c r="V38" s="21">
        <f>SUMIF(テーブル22[プロジェクト],L38,テーブル22[労働時間])+V40</f>
        <v>1830</v>
      </c>
      <c r="W38" s="21">
        <f>V38-P38</f>
        <v>0</v>
      </c>
    </row>
    <row r="39" spans="1:23">
      <c r="I39">
        <f>COUNTA(I3:I32)</f>
        <v>22</v>
      </c>
      <c r="J39" s="25" t="s">
        <v>24</v>
      </c>
      <c r="K39" s="49" t="s">
        <v>22</v>
      </c>
      <c r="L39" s="61" t="s">
        <v>29</v>
      </c>
      <c r="M39" s="69" t="s">
        <v>37</v>
      </c>
      <c r="N39" s="37">
        <f>SUMIF(テーブル22[プロジェクト],L39,テーブル22[労働時間])</f>
        <v>0</v>
      </c>
      <c r="O39" s="71"/>
      <c r="T39" s="21"/>
      <c r="U39" s="21"/>
      <c r="V39" s="21"/>
      <c r="W39" s="21"/>
    </row>
    <row r="40" spans="1:23" ht="14.25" thickBot="1">
      <c r="J40" s="44">
        <v>43</v>
      </c>
      <c r="K40" s="50">
        <f>K36-K38</f>
        <v>2590</v>
      </c>
      <c r="L40" s="63" t="s">
        <v>30</v>
      </c>
      <c r="M40" s="70" t="s">
        <v>37</v>
      </c>
      <c r="N40" s="64">
        <f>SUMIF(テーブル22[プロジェクト],L40,テーブル22[労働時間])</f>
        <v>450</v>
      </c>
      <c r="O40" s="72"/>
      <c r="T40" s="21">
        <f>SUMIF(テーブル22[プロジェクト],L40,テーブル22[勤務時間])</f>
        <v>450</v>
      </c>
      <c r="U40" s="21"/>
      <c r="V40" s="21">
        <f>SUMIF(テーブル22[プロジェクト],L40,テーブル22[労働時間])</f>
        <v>450</v>
      </c>
      <c r="W40" s="21"/>
    </row>
    <row r="41" spans="1:23">
      <c r="J41" s="25" t="s">
        <v>25</v>
      </c>
      <c r="K41" s="49" t="s">
        <v>23</v>
      </c>
      <c r="L41" s="57" t="s">
        <v>31</v>
      </c>
      <c r="M41" s="59">
        <v>30</v>
      </c>
      <c r="N41" s="59">
        <f>SUMIF(テーブル22[プロジェクト],L41,テーブル22[労働時間])</f>
        <v>0</v>
      </c>
      <c r="O41" s="60">
        <f>$N41/$K$36</f>
        <v>0</v>
      </c>
      <c r="T41" s="21"/>
      <c r="U41" s="21"/>
      <c r="V41" s="21"/>
      <c r="W41" s="21"/>
    </row>
    <row r="42" spans="1:23">
      <c r="J42" s="25">
        <f>K40-J40*60</f>
        <v>10</v>
      </c>
      <c r="K42" s="50">
        <f>SUM(テーブル22[C残])</f>
        <v>130</v>
      </c>
      <c r="L42" s="61" t="s">
        <v>32</v>
      </c>
      <c r="M42" s="51">
        <v>0.05</v>
      </c>
      <c r="N42" s="37">
        <f>SUMIF(テーブル22[プロジェクト],L42,テーブル22[労働時間])</f>
        <v>609.99999999999989</v>
      </c>
      <c r="O42" s="62">
        <f t="shared" ref="O42:O46" si="1">$N42/$K$36</f>
        <v>5.0041017227235432E-2</v>
      </c>
      <c r="P42">
        <f t="shared" ref="P42:P44" si="2">ROUND(($K$38+$J$40*60)*M42,-1)</f>
        <v>610</v>
      </c>
      <c r="Q42">
        <f>($J$38+2)*$M42</f>
        <v>1.1000000000000001</v>
      </c>
      <c r="R42">
        <f>ROUND(Q42,0)</f>
        <v>1</v>
      </c>
      <c r="S42">
        <f t="shared" ref="S42:S47" si="3">450*R42</f>
        <v>450</v>
      </c>
      <c r="T42" s="21">
        <f>SUMIF(テーブル22[プロジェクト],L42,テーブル22[勤務時間])</f>
        <v>699.99999999999989</v>
      </c>
      <c r="U42" s="21">
        <f t="shared" ref="U42:U44" si="4">T42-P42</f>
        <v>89.999999999999886</v>
      </c>
      <c r="V42" s="21">
        <f>SUMIF(テーブル22[プロジェクト],L42,テーブル22[労働時間])</f>
        <v>609.99999999999989</v>
      </c>
      <c r="W42" s="21">
        <f t="shared" ref="W42:W44" si="5">V42-P42</f>
        <v>0</v>
      </c>
    </row>
    <row r="43" spans="1:23">
      <c r="L43" s="61" t="s">
        <v>48</v>
      </c>
      <c r="M43" s="51">
        <v>0.75</v>
      </c>
      <c r="N43" s="37">
        <f>SUMIF(テーブル22[プロジェクト],L43,テーブル22[労働時間])</f>
        <v>9140</v>
      </c>
      <c r="O43" s="62">
        <f t="shared" si="1"/>
        <v>0.7497949138638228</v>
      </c>
      <c r="P43">
        <f t="shared" si="2"/>
        <v>9140</v>
      </c>
      <c r="Q43">
        <f>($J$38+2)*$M43</f>
        <v>16.5</v>
      </c>
      <c r="R43">
        <f t="shared" ref="R43:R44" si="6">ROUND(Q43,0)</f>
        <v>17</v>
      </c>
      <c r="S43">
        <f t="shared" si="3"/>
        <v>7650</v>
      </c>
      <c r="T43" s="21">
        <f>SUMIF(テーブル22[プロジェクト],L43,テーブル22[勤務時間])</f>
        <v>10220</v>
      </c>
      <c r="U43" s="21">
        <f t="shared" si="4"/>
        <v>1080</v>
      </c>
      <c r="V43" s="21">
        <f>SUMIF(テーブル22[プロジェクト],L43,テーブル22[労働時間])</f>
        <v>9140</v>
      </c>
      <c r="W43" s="21">
        <f t="shared" si="5"/>
        <v>0</v>
      </c>
    </row>
    <row r="44" spans="1:23">
      <c r="L44" s="61" t="s">
        <v>47</v>
      </c>
      <c r="M44" s="51">
        <v>0.05</v>
      </c>
      <c r="N44" s="37">
        <f>SUMIF(テーブル22[プロジェクト],L44,テーブル22[労働時間])</f>
        <v>609.99999999999977</v>
      </c>
      <c r="O44" s="62">
        <f t="shared" si="1"/>
        <v>5.0041017227235418E-2</v>
      </c>
      <c r="P44">
        <f t="shared" si="2"/>
        <v>610</v>
      </c>
      <c r="Q44">
        <f>($J$38+2)*$M44</f>
        <v>1.1000000000000001</v>
      </c>
      <c r="R44">
        <f t="shared" si="6"/>
        <v>1</v>
      </c>
      <c r="S44">
        <f t="shared" si="3"/>
        <v>450</v>
      </c>
      <c r="T44" s="21">
        <f>SUMIF(テーブル22[プロジェクト],L44,テーブル22[勤務時間])</f>
        <v>709.99999999999977</v>
      </c>
      <c r="U44" s="21">
        <f t="shared" si="4"/>
        <v>99.999999999999773</v>
      </c>
      <c r="V44" s="21">
        <f>SUMIF(テーブル22[プロジェクト],L44,テーブル22[労働時間])</f>
        <v>609.99999999999977</v>
      </c>
      <c r="W44" s="21">
        <f t="shared" si="5"/>
        <v>0</v>
      </c>
    </row>
    <row r="45" spans="1:23">
      <c r="L45" s="61" t="s">
        <v>33</v>
      </c>
      <c r="M45" s="51"/>
      <c r="N45" s="37">
        <f>SUMIF(テーブル22[プロジェクト],L45,テーブル22[労働時間])</f>
        <v>0</v>
      </c>
      <c r="O45" s="62">
        <f t="shared" si="1"/>
        <v>0</v>
      </c>
      <c r="T45" s="21"/>
      <c r="U45" s="21"/>
      <c r="V45" s="21"/>
      <c r="W45" s="21"/>
    </row>
    <row r="46" spans="1:23" ht="14.25" thickBot="1">
      <c r="L46" s="65" t="s">
        <v>34</v>
      </c>
      <c r="M46" s="52"/>
      <c r="N46" s="53">
        <f>SUMIF(テーブル22[プロジェクト],L46,テーブル22[労働時間])</f>
        <v>0</v>
      </c>
      <c r="O46" s="66">
        <f t="shared" si="1"/>
        <v>0</v>
      </c>
      <c r="T46" s="21"/>
      <c r="U46" s="21"/>
      <c r="V46" s="21"/>
      <c r="W46" s="21"/>
    </row>
    <row r="47" spans="1:23" ht="14.25" thickBot="1">
      <c r="L47" s="54" t="s">
        <v>18</v>
      </c>
      <c r="M47" s="68">
        <f>SUM(M38,M42:M46)</f>
        <v>1</v>
      </c>
      <c r="N47" s="86">
        <f>SUM(N38:N46)</f>
        <v>12190</v>
      </c>
      <c r="O47" s="67">
        <f>SUM(O38:O46)</f>
        <v>1</v>
      </c>
      <c r="P47">
        <f>SUM(P38:P46)</f>
        <v>12190</v>
      </c>
      <c r="Q47">
        <f>SUM(Q38:Q46)</f>
        <v>22</v>
      </c>
      <c r="R47">
        <f>SUM(R38:R46)</f>
        <v>22</v>
      </c>
      <c r="S47">
        <f t="shared" si="3"/>
        <v>9900</v>
      </c>
      <c r="T47" s="21">
        <f>SUM(T38:T46)</f>
        <v>14290</v>
      </c>
      <c r="U47" s="21">
        <f>SUM(U38:U46)</f>
        <v>1649.9999999999998</v>
      </c>
      <c r="V47" s="21">
        <f>SUM(V38:V46)</f>
        <v>12640</v>
      </c>
    </row>
  </sheetData>
  <mergeCells count="3">
    <mergeCell ref="D1:L1"/>
    <mergeCell ref="M1:N1"/>
    <mergeCell ref="G35:H35"/>
  </mergeCells>
  <phoneticPr fontId="1"/>
  <conditionalFormatting sqref="A3:I34 J3:N33">
    <cfRule type="expression" dxfId="48" priority="4">
      <formula>$C3="○"</formula>
    </cfRule>
  </conditionalFormatting>
  <conditionalFormatting sqref="A3:N33">
    <cfRule type="expression" dxfId="47" priority="3">
      <formula>$E3&lt;&gt;""</formula>
    </cfRule>
  </conditionalFormatting>
  <conditionalFormatting sqref="K40">
    <cfRule type="expression" dxfId="46" priority="2">
      <formula>$K$40&gt;$J$40*60</formula>
    </cfRule>
  </conditionalFormatting>
  <conditionalFormatting sqref="L36:N36">
    <cfRule type="expression" dxfId="45" priority="1">
      <formula>$C34="○"</formula>
    </cfRule>
  </conditionalFormatting>
  <dataValidations count="4">
    <dataValidation type="list" allowBlank="1" showInputMessage="1" showErrorMessage="1" sqref="F3:F33">
      <formula1>$F$35:$F$37</formula1>
    </dataValidation>
    <dataValidation type="list" allowBlank="1" showInputMessage="1" showErrorMessage="1" sqref="E3:E33">
      <formula1>",コアタイム解除"</formula1>
    </dataValidation>
    <dataValidation type="whole" operator="greaterThan" allowBlank="1" showInputMessage="1" showErrorMessage="1" sqref="D3:D33">
      <formula1>0</formula1>
    </dataValidation>
    <dataValidation type="list" allowBlank="1" showInputMessage="1" showErrorMessage="1" sqref="C3:C33">
      <formula1>$C$35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4月</vt:lpstr>
      <vt:lpstr>5月</vt:lpstr>
      <vt:lpstr>祝日</vt:lpstr>
      <vt:lpstr>アルゴリズム3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miyuki</dc:creator>
  <cp:lastModifiedBy>550733</cp:lastModifiedBy>
  <dcterms:created xsi:type="dcterms:W3CDTF">2015-04-28T14:25:25Z</dcterms:created>
  <dcterms:modified xsi:type="dcterms:W3CDTF">2015-05-27T14:16:37Z</dcterms:modified>
</cp:coreProperties>
</file>